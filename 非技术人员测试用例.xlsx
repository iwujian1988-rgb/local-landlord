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85" windowHeight="11587" activeTab="1"/>
  </bookViews>
  <sheets>
    <sheet name="使用说明" sheetId="1" r:id="rId1"/>
    <sheet name="测试用例" sheetId="2" r:id="rId2"/>
    <sheet name="总体评估" sheetId="3" r:id="rId3"/>
    <sheet name="报问题模板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E4" authorId="0">
      <text/>
    </comment>
    <comment ref="E5" authorId="0">
      <text/>
    </comment>
    <comment ref="E6" authorId="0">
      <text/>
    </comment>
    <comment ref="E7" authorId="0">
      <text/>
    </comment>
    <comment ref="E8" authorId="0">
      <text/>
    </comment>
    <comment ref="E9" authorId="0">
      <text/>
    </comment>
    <comment ref="E10" authorId="0">
      <text/>
    </comment>
    <comment ref="E11" authorId="0">
      <text/>
    </comment>
    <comment ref="E12" authorId="0">
      <text/>
    </comment>
    <comment ref="E13" authorId="0">
      <text/>
    </comment>
    <comment ref="E14" authorId="0">
      <text/>
    </comment>
    <comment ref="E15" authorId="0">
      <text/>
    </comment>
    <comment ref="E16" authorId="0">
      <text/>
    </comment>
    <comment ref="E17" authorId="0">
      <text/>
    </comment>
    <comment ref="E18" authorId="0">
      <text/>
    </comment>
    <comment ref="E19" authorId="0">
      <text/>
    </comment>
    <comment ref="E20" authorId="0">
      <text/>
    </comment>
    <comment ref="E21" authorId="0">
      <text/>
    </comment>
    <comment ref="E22" authorId="0">
      <text/>
    </comment>
    <comment ref="E23" authorId="0">
      <text/>
    </comment>
    <comment ref="E24" authorId="0">
      <text/>
    </comment>
    <comment ref="E25" authorId="0">
      <text/>
    </comment>
    <comment ref="E26" authorId="0">
      <text/>
    </comment>
    <comment ref="E27" authorId="0">
      <text/>
    </comment>
    <comment ref="E28" authorId="0">
      <text/>
    </comment>
    <comment ref="E29" authorId="0">
      <text/>
    </comment>
    <comment ref="E30" authorId="0">
      <text/>
    </comment>
    <comment ref="E31" authorId="0">
      <text/>
    </comment>
    <comment ref="E32" authorId="0">
      <text/>
    </comment>
    <comment ref="E33" authorId="0">
      <text/>
    </comment>
    <comment ref="E34" authorId="0">
      <text/>
    </comment>
    <comment ref="E35" authorId="0">
      <text/>
    </comment>
    <comment ref="E36" authorId="0">
      <text/>
    </comment>
    <comment ref="E37" authorId="0">
      <text/>
    </comment>
    <comment ref="E38" authorId="0">
      <text/>
    </comment>
    <comment ref="E39" authorId="0">
      <text/>
    </comment>
    <comment ref="E40" authorId="0">
      <text/>
    </comment>
    <comment ref="E41" authorId="0">
      <text/>
    </comment>
    <comment ref="E42" authorId="0">
      <text/>
    </comment>
    <comment ref="E43" authorId="0">
      <text/>
    </comment>
    <comment ref="E44" authorId="0">
      <text/>
    </comment>
    <comment ref="E45" authorId="0">
      <text/>
    </comment>
    <comment ref="E46" authorId="0">
      <text/>
    </comment>
    <comment ref="E47" authorId="0">
      <text/>
    </comment>
    <comment ref="E48" authorId="0">
      <text/>
    </comment>
    <comment ref="E49" authorId="0">
      <text/>
    </comment>
    <comment ref="E50" authorId="0">
      <text/>
    </comment>
    <comment ref="E51" authorId="0">
      <text/>
    </comment>
    <comment ref="E52" authorId="0">
      <text/>
    </comment>
    <comment ref="E53" authorId="0">
      <text/>
    </comment>
    <comment ref="E54" authorId="0">
      <text/>
    </comment>
    <comment ref="E55" authorId="0">
      <text/>
    </comment>
    <comment ref="E56" authorId="0">
      <text/>
    </comment>
    <comment ref="E57" authorId="0">
      <text/>
    </comment>
    <comment ref="E58" authorId="0">
      <text/>
    </comment>
    <comment ref="E59" authorId="0">
      <text/>
    </comment>
    <comment ref="E60" authorId="0">
      <text/>
    </comment>
    <comment ref="E61" authorId="0">
      <text/>
    </comment>
    <comment ref="E62" authorId="0">
      <text/>
    </comment>
    <comment ref="E63" authorId="0">
      <text/>
    </comment>
    <comment ref="E64" authorId="0">
      <text/>
    </comment>
    <comment ref="E65" authorId="0">
      <text/>
    </comment>
    <comment ref="E66" authorId="0">
      <text/>
    </comment>
    <comment ref="E67" authorId="0">
      <text/>
    </comment>
    <comment ref="E68" authorId="0">
      <text/>
    </comment>
    <comment ref="E69" authorId="0">
      <text/>
    </comment>
    <comment ref="E70" authorId="0">
      <text/>
    </comment>
    <comment ref="E71" authorId="0">
      <text/>
    </comment>
    <comment ref="E72" authorId="0">
      <text/>
    </comment>
    <comment ref="E73" authorId="0">
      <text/>
    </comment>
    <comment ref="E74" authorId="0">
      <text/>
    </comment>
    <comment ref="E75" authorId="0">
      <text/>
    </comment>
    <comment ref="E76" authorId="0">
      <text/>
    </comment>
    <comment ref="E77" authorId="0">
      <text/>
    </comment>
    <comment ref="E78" authorId="0">
      <text/>
    </comment>
    <comment ref="E79" authorId="0">
      <text/>
    </comment>
    <comment ref="E80" authorId="0">
      <text/>
    </comment>
    <comment ref="E81" authorId="0">
      <text/>
    </comment>
    <comment ref="E82" authorId="0">
      <text/>
    </comment>
    <comment ref="E83" authorId="0">
      <text/>
    </comment>
    <comment ref="E84" authorId="0">
      <text/>
    </comment>
    <comment ref="E85" authorId="0">
      <text/>
    </comment>
    <comment ref="E86" authorId="0">
      <text/>
    </comment>
    <comment ref="E87" authorId="0">
      <text/>
    </comment>
    <comment ref="E88" authorId="0">
      <text/>
    </comment>
    <comment ref="E89" authorId="0">
      <text/>
    </comment>
    <comment ref="E90" authorId="0">
      <text/>
    </comment>
    <comment ref="E91" authorId="0">
      <text/>
    </comment>
    <comment ref="E92" authorId="0">
      <text/>
    </comment>
    <comment ref="E93" authorId="0">
      <text/>
    </comment>
    <comment ref="E94" authorId="0">
      <text/>
    </comment>
    <comment ref="E95" authorId="0">
      <text/>
    </comment>
    <comment ref="E96" authorId="0">
      <text/>
    </comment>
    <comment ref="E97" authorId="0">
      <text/>
    </comment>
    <comment ref="E98" authorId="0">
      <text/>
    </comment>
    <comment ref="E99" authorId="0">
      <text/>
    </comment>
    <comment ref="E100" authorId="0">
      <text/>
    </comment>
    <comment ref="E101" authorId="0">
      <text/>
    </comment>
    <comment ref="E102" authorId="0">
      <text/>
    </comment>
    <comment ref="E103" authorId="0">
      <text/>
    </comment>
    <comment ref="E104" authorId="0">
      <text/>
    </comment>
    <comment ref="E105" authorId="0">
      <text/>
    </comment>
    <comment ref="E106" authorId="0">
      <text/>
    </comment>
    <comment ref="E107" authorId="0">
      <text/>
    </comment>
    <comment ref="E108" authorId="0">
      <text/>
    </comment>
    <comment ref="E109" authorId="0">
      <text/>
    </comment>
    <comment ref="E110" authorId="0">
      <text/>
    </comment>
    <comment ref="E111" authorId="0">
      <text/>
    </comment>
    <comment ref="E112" authorId="0">
      <text/>
    </comment>
    <comment ref="E113" authorId="0">
      <text/>
    </comment>
    <comment ref="E114" authorId="0">
      <text/>
    </comment>
    <comment ref="E115" authorId="0">
      <text/>
    </comment>
    <comment ref="E116" authorId="0">
      <text/>
    </comment>
    <comment ref="E117" authorId="0">
      <text/>
    </comment>
    <comment ref="E118" authorId="0">
      <text/>
    </comment>
    <comment ref="E119" authorId="0">
      <text/>
    </comment>
    <comment ref="E120" authorId="0">
      <text/>
    </comment>
    <comment ref="E121" authorId="0">
      <text/>
    </comment>
    <comment ref="E122" authorId="0">
      <text/>
    </comment>
    <comment ref="E123" authorId="0">
      <text/>
    </comment>
    <comment ref="E124" authorId="0">
      <text/>
    </comment>
    <comment ref="E125" authorId="0">
      <text/>
    </comment>
    <comment ref="E126" authorId="0">
      <text/>
    </comment>
    <comment ref="E127" authorId="0">
      <text/>
    </comment>
    <comment ref="E128" authorId="0">
      <text/>
    </comment>
    <comment ref="E129" authorId="0">
      <text/>
    </comment>
    <comment ref="E130" authorId="0">
      <text/>
    </comment>
    <comment ref="E131" authorId="0">
      <text/>
    </comment>
    <comment ref="E132" authorId="0">
      <text/>
    </comment>
    <comment ref="E133" authorId="0">
      <text/>
    </comment>
    <comment ref="E134" authorId="0">
      <text/>
    </comment>
  </commentList>
</comments>
</file>

<file path=xl/sharedStrings.xml><?xml version="1.0" encoding="utf-8"?>
<sst xmlns="http://schemas.openxmlformats.org/spreadsheetml/2006/main" count="672" uniqueCount="322">
  <si>
    <t>本地房东 · 核心功能测试用例（小白版）</t>
  </si>
  <si>
    <t/>
  </si>
  <si>
    <t>谁来看这份文档</t>
  </si>
  <si>
    <t>产品、运营、客服、外部体验官，不需要懂代码。</t>
  </si>
  <si>
    <t>测试目标</t>
  </si>
  <si>
    <t>照着点一遍，确认主要功能能跑通。共 18 个场景约 130 步，预计 35-45 分钟跑完。</t>
  </si>
  <si>
    <t>怎么判断通过</t>
  </si>
  <si>
    <t>每一步都给了"应该看到"——对得上就在"测试结果"列选 ✅通过，对不上选 ❌不通过。</t>
  </si>
  <si>
    <t>测试前准备</t>
  </si>
  <si>
    <t>测试环境</t>
  </si>
  <si>
    <t>微信开发者工具 / 体验版小程序（找开发要二维码）</t>
  </si>
  <si>
    <t>测试账号</t>
  </si>
  <si>
    <t>找开发要一个全新测试号，避免和老数据混</t>
  </si>
  <si>
    <t>要准备的东西</t>
  </si>
  <si>
    <t>3 张随便的图片（房子外观、收款码、合同）放在桌面备用</t>
  </si>
  <si>
    <t>勾选方式</t>
  </si>
  <si>
    <t>在"测试结果"列点单元格，会弹出下拉框，选 ✅通过 / ❌不通过 / ⏳未测</t>
  </si>
  <si>
    <t>备注怎么填</t>
  </si>
  <si>
    <t>不通过时，在"实际看到 / 现象"列用大白话写一句，最好截图</t>
  </si>
  <si>
    <t>🟢 通过</t>
  </si>
  <si>
    <t>屏幕显示和"应该看到"一致</t>
  </si>
  <si>
    <t>🔴 不通过</t>
  </si>
  <si>
    <t>屏幕显示不一样 / 卡住 / 报错 / 闪退</t>
  </si>
  <si>
    <t>总判定</t>
  </si>
  <si>
    <t>在"总体评估"Sheet 看汇总。10/10 = 可发真实用户；第六步必过。</t>
  </si>
  <si>
    <t>本地房东 · 核心功能测试用例（18 场景 / 130+ 步 / 35-45 分钟）</t>
  </si>
  <si>
    <t>操作要照顺序来；每一步对得上就选 ✅，对不上选 ❌ 并在右边写现象</t>
  </si>
  <si>
    <t>场景</t>
  </si>
  <si>
    <t>步骤</t>
  </si>
  <si>
    <t>你做什么</t>
  </si>
  <si>
    <t>✅ 应该看到</t>
  </si>
  <si>
    <t>测试结果</t>
  </si>
  <si>
    <t>实际看到 / 现象</t>
  </si>
  <si>
    <t>一、启动 + 登录</t>
  </si>
  <si>
    <t>确认微信是登录状态</t>
  </si>
  <si>
    <t>打开微信能看到聊天列表，没卡在登录页</t>
  </si>
  <si>
    <t>⏳未测</t>
  </si>
  <si>
    <t>打开"本地房东"小程序</t>
  </si>
  <si>
    <t>进入小程序，看到首页或欢迎页（不能是黑屏/白屏）</t>
  </si>
  <si>
    <t>✅通过</t>
  </si>
  <si>
    <t>如果是首次，点"开始使用"按钮</t>
  </si>
  <si>
    <t>直接进入主页面，不需要输密码、不需要授权弹窗卡住</t>
  </si>
  <si>
    <t>看底部导航栏</t>
  </si>
  <si>
    <t>有 4 个 Tab：首页、房间、收租、我的（图标 + 文字都要清晰）</t>
  </si>
  <si>
    <t>看顶部标题</t>
  </si>
  <si>
    <t>显示"本地房东"或当前页面名（不能是空白或"undefined"）</t>
  </si>
  <si>
    <t>二、添加第一套房源</t>
  </si>
  <si>
    <t>在首页找"添加第一套房源"按钮</t>
  </si>
  <si>
    <t>能找到，按钮颜色清晰，不是灰色禁用状态</t>
  </si>
  <si>
    <t>点这个按钮</t>
  </si>
  <si>
    <t>进入"添加房源"页面，标题在顶部显示</t>
  </si>
  <si>
    <t>点"拍一张房子外观"区域</t>
  </si>
  <si>
    <t>弹出底部小窗，让选"拍照 / 从相册选 / 取消"</t>
  </si>
  <si>
    <t>选"从相册选"，挑一张图</t>
  </si>
  <si>
    <t>图片显示在页面上方，下方出现"重新拍摄"按钮</t>
  </si>
  <si>
    <t>再点"重新拍摄"，换一张图</t>
  </si>
  <si>
    <t>旧图被替换成新图</t>
  </si>
  <si>
    <t>房源名称：留空，直接点"保存"</t>
  </si>
  <si>
    <t>❌ 应弹出错误"请输入房源名称"（不通过算正常）</t>
  </si>
  <si>
    <t>房源名称输入：测试楼A</t>
  </si>
  <si>
    <t>输入框出现这 4 个字，无乱码</t>
  </si>
  <si>
    <t>详细地址输入：测试路1号</t>
  </si>
  <si>
    <t>输入正常，无卡顿</t>
  </si>
  <si>
    <t>备注输入：6 层楼</t>
  </si>
  <si>
    <t>输入正常（备注是选填，不填也行）</t>
  </si>
  <si>
    <t>点"保存"按钮</t>
  </si>
  <si>
    <t>顶部弹出绿色提示"房源已添加"，紧接着弹窗问"要现在添加房间吗？"</t>
  </si>
  <si>
    <t>三、添加第一个房间</t>
  </si>
  <si>
    <t>上一节弹窗点"现在添加"</t>
  </si>
  <si>
    <t>进入添加房间页面，标题"填写房间信息"</t>
  </si>
  <si>
    <t>房间名称：留空，点"保存"</t>
  </si>
  <si>
    <t>❌ 应弹"请输入房间名称"</t>
  </si>
  <si>
    <t>房间名称输入：101</t>
  </si>
  <si>
    <t>输入正常</t>
  </si>
  <si>
    <t>每月租金：留空，点"保存"</t>
  </si>
  <si>
    <t>❌ 应弹"请输入有效租金"</t>
  </si>
  <si>
    <t>每月租金输入：0，点"保存"</t>
  </si>
  <si>
    <t>❌ 应弹"请输入有效租金"（0 不算有效）</t>
  </si>
  <si>
    <t>每月租金输入：2500</t>
  </si>
  <si>
    <t>输入正常，能看到"元"后缀</t>
  </si>
  <si>
    <t>房间状态保持默认"空着"</t>
  </si>
  <si>
    <t>"空着"按钮是高亮/选中样式</t>
  </si>
  <si>
    <t>点开"更多信息（可选）"</t>
  </si>
  <si>
    <t>展开更多输入框：押金、面积、楼层、朝向、设施、备注</t>
  </si>
  <si>
    <t>押金输入：5000，面积输入：25 平米，朝向选：朝南</t>
  </si>
  <si>
    <t>三个字段都正常输入</t>
  </si>
  <si>
    <t>勾选"有空调"和"有独卫"</t>
  </si>
  <si>
    <t>两个标签都变成高亮选中态</t>
  </si>
  <si>
    <t>备注输入：带阳台</t>
  </si>
  <si>
    <t>点"保存"</t>
  </si>
  <si>
    <t>顶部弹"房间已保存"，然后弹窗"要现在登记租客吗？"</t>
  </si>
  <si>
    <t>四、登记一个租客</t>
  </si>
  <si>
    <t>上一节弹窗点"现在登记"</t>
  </si>
  <si>
    <t>进入"登记租客"页面</t>
  </si>
  <si>
    <t>看顶部关联房间</t>
  </si>
  <si>
    <t>显示 101（自动带过来，不用手填）</t>
  </si>
  <si>
    <t>租客姓名：留空，点"保存"</t>
  </si>
  <si>
    <t>❌ 应弹"请输入租客姓名"</t>
  </si>
  <si>
    <t>租客姓名输入：王先生</t>
  </si>
  <si>
    <t>租客电话：留空，点"保存"</t>
  </si>
  <si>
    <t>❌ 应弹"请输入租客电话"</t>
  </si>
  <si>
    <t>租客电话输入：13812345678</t>
  </si>
  <si>
    <t>输入正常，11 位数字</t>
  </si>
  <si>
    <t>入住时间：点日期框</t>
  </si>
  <si>
    <t>弹出日期滚轮（年月日三列）</t>
  </si>
  <si>
    <t>入住时间选：今天日期</t>
  </si>
  <si>
    <t>选好后页面显示 YYYY-MM-DD 格式</t>
  </si>
  <si>
    <t>合同到期选：一年后的今天</t>
  </si>
  <si>
    <t>同样弹出滚轮，选好后显示日期</t>
  </si>
  <si>
    <t>每月收租日：点下拉</t>
  </si>
  <si>
    <t>出现 1-31 号 + 月底 选项</t>
  </si>
  <si>
    <t>每月收租日选：15号</t>
  </si>
  <si>
    <t>显示"15号"</t>
  </si>
  <si>
    <t>押金输入：5000</t>
  </si>
  <si>
    <t>输入正常（如果房间已填过押金，这里应自动带出）</t>
  </si>
  <si>
    <t>弹"租客信息已保存"，自动返回到房间详情或首页</t>
  </si>
  <si>
    <t>五、首页信息核对</t>
  </si>
  <si>
    <t>回到首页（点底部"首页"）</t>
  </si>
  <si>
    <t>看到刚加的"测试楼A"卡片</t>
  </si>
  <si>
    <t>看 101 房间卡片核心信息</t>
  </si>
  <si>
    <t>显示：房间号 101、租客"王先生"、状态"已出租"、应收 2500</t>
  </si>
  <si>
    <t>看卡片快捷按钮</t>
  </si>
  <si>
    <t>"发给租客""登记租客""发账单""收款码"等按钮齐全</t>
  </si>
  <si>
    <t>看首页统计区</t>
  </si>
  <si>
    <t>显示本月应收 / 已收 / 欠收数字（数字不能是 ??? 或 NaN）</t>
  </si>
  <si>
    <t>看今日待办区</t>
  </si>
  <si>
    <t>如果今天是收租日，能看到提醒；否则显示"暂无待办"或类似空态</t>
  </si>
  <si>
    <t>六、发账单 + 标记已收 ⭐ 核心</t>
  </si>
  <si>
    <t>首页点房间 101</t>
  </si>
  <si>
    <t>进入房间详情页，能看到租客名和房间信息</t>
  </si>
  <si>
    <t>找"发账单"按钮点一下</t>
  </si>
  <si>
    <t>进入"通知王先生交租"页面</t>
  </si>
  <si>
    <t>看第一步费用列表</t>
  </si>
  <si>
    <t>房租显示 2500，其他费用如有也显示</t>
  </si>
  <si>
    <t>尝试改一个费用金额（如水费 50→80）</t>
  </si>
  <si>
    <t>输入框可编辑，合计金额同步更新</t>
  </si>
  <si>
    <t>看底部合计金额</t>
  </si>
  <si>
    <t>显示所有费用之和，数字正确</t>
  </si>
  <si>
    <t>第二步"上传账单照片"：选一张图</t>
  </si>
  <si>
    <t>图片显示在该步骤区域（也可以跳过此步）</t>
  </si>
  <si>
    <t>第三步点"复制文字"按钮</t>
  </si>
  <si>
    <t>弹"文字已复制，可以发给租客了"，剪贴板有内容</t>
  </si>
  <si>
    <t>点底部"我已收到钱"按钮</t>
  </si>
  <si>
    <t>弹出确认框"确认标记为已收？"</t>
  </si>
  <si>
    <t>确认</t>
  </si>
  <si>
    <t>弹"已标记为已收"，自动返回房间详情；房间状态显示"已收"或类似</t>
  </si>
  <si>
    <t>七、设置收款码</t>
  </si>
  <si>
    <t>房间详情页找"收款码"按钮</t>
  </si>
  <si>
    <t>进入"我的收款码"页面</t>
  </si>
  <si>
    <t>看页面</t>
  </si>
  <si>
    <t>列出三种类型：微信支付、支付宝、银行卡</t>
  </si>
  <si>
    <t>微信支付下点"上传"</t>
  </si>
  <si>
    <t>弹出选图（拍照/相册）</t>
  </si>
  <si>
    <t>选一张图片</t>
  </si>
  <si>
    <t>显示收款码缩略图，旁边有"已上传"标签</t>
  </si>
  <si>
    <t>点"设为默认"</t>
  </si>
  <si>
    <t>该类型出现"默认"标记，其他类型的"默认"会被取消</t>
  </si>
  <si>
    <t>收款人姓名输入：王房东</t>
  </si>
  <si>
    <t>收款说明输入：付款后请微信告诉我</t>
  </si>
  <si>
    <t>弹"设置已保存"，自动返回上一页</t>
  </si>
  <si>
    <t>重新进入收款码页</t>
  </si>
  <si>
    <t>刚才上传的图、默认标记、姓名、说明都还在（不丢）</t>
  </si>
  <si>
    <t>八、收租列表（底部 Tab）</t>
  </si>
  <si>
    <t>点底部"收租"Tab</t>
  </si>
  <si>
    <t>进入收租列表页</t>
  </si>
  <si>
    <t>看分组标题</t>
  </si>
  <si>
    <t>至少能看到 4 个分组：今日应收 / 即将到期 / 已逾期 / 已完成</t>
  </si>
  <si>
    <t>找刚才那笔 2500</t>
  </si>
  <si>
    <t>因为已标记已收，应该在"已完成"分组下</t>
  </si>
  <si>
    <t>看每条记录信息</t>
  </si>
  <si>
    <t>显示：房间号 101、租客名、金额、收租状态、时间</t>
  </si>
  <si>
    <t>点某条记录进入详情</t>
  </si>
  <si>
    <t>能跳转到账单详情或房间详情（不卡死）</t>
  </si>
  <si>
    <t>九、收租记录</t>
  </si>
  <si>
    <t>房间详情页找"收租记录"按钮</t>
  </si>
  <si>
    <t>进入"101 收租记录"页</t>
  </si>
  <si>
    <t>看列表</t>
  </si>
  <si>
    <t>至少有一条记录（刚才 2500 元已收那笔）</t>
  </si>
  <si>
    <t>看记录内容</t>
  </si>
  <si>
    <t>类型图标、标题、金额、时间都有；金额对得上 2500</t>
  </si>
  <si>
    <t>点筛选 Tab"账单"</t>
  </si>
  <si>
    <t>只显示账单类型记录（不显示其他类型）</t>
  </si>
  <si>
    <t>点筛选 Tab"已收"</t>
  </si>
  <si>
    <t>只显示已收的记录</t>
  </si>
  <si>
    <t>十、单独收一笔（额外收费）</t>
  </si>
  <si>
    <t>房间详情页找"更多"或"单独收"入口</t>
  </si>
  <si>
    <t>进入"单独收一笔钱"页面</t>
  </si>
  <si>
    <t>看顶部房间选择</t>
  </si>
  <si>
    <t>默认显示 101（也可下拉切换其他房间）</t>
  </si>
  <si>
    <t>费用类型下拉选：水费</t>
  </si>
  <si>
    <t>显示"水费"</t>
  </si>
  <si>
    <t>金额输入：80</t>
  </si>
  <si>
    <t>备注输入：6 月水费</t>
  </si>
  <si>
    <t>点"生成收款通知"</t>
  </si>
  <si>
    <t>跳转到付款页面，显示金额 80、收款码（如果设过）</t>
  </si>
  <si>
    <t>返回后看收租记录</t>
  </si>
  <si>
    <t>应新增一条水费 80 的记录</t>
  </si>
  <si>
    <t>十一、每月要收（费用设置）</t>
  </si>
  <si>
    <t>房间详情页找"更多"→"每月要收"</t>
  </si>
  <si>
    <t>进入费用设置页</t>
  </si>
  <si>
    <t>看默认费用项</t>
  </si>
  <si>
    <t>房租 2500，默认开关是开的</t>
  </si>
  <si>
    <t>点"添加其他收费项目"</t>
  </si>
  <si>
    <t>弹输入框或新行</t>
  </si>
  <si>
    <t>添加"物业费"金额 200</t>
  </si>
  <si>
    <t>新增一行，开关默认开</t>
  </si>
  <si>
    <t>添加"网费"金额 100</t>
  </si>
  <si>
    <t>再增一行</t>
  </si>
  <si>
    <t>关闭某项的开关（如网费）</t>
  </si>
  <si>
    <t>该项变灰/禁用样式</t>
  </si>
  <si>
    <t>返回后再次进入此页</t>
  </si>
  <si>
    <t>刚才的数据都还在，状态不变</t>
  </si>
  <si>
    <t>十二、合同收据上传</t>
  </si>
  <si>
    <t>房间详情页找"更多"→"合同收据"</t>
  </si>
  <si>
    <t>进入合同收据页</t>
  </si>
  <si>
    <t>点"+"或"上传资料"</t>
  </si>
  <si>
    <t>上传一张合同照片</t>
  </si>
  <si>
    <t>列表出现新记录</t>
  </si>
  <si>
    <t>看记录字段</t>
  </si>
  <si>
    <t>类型（合同/收据）、上传时间、缩略图</t>
  </si>
  <si>
    <t>点筛选 Tab"合同"</t>
  </si>
  <si>
    <t>只显示合同类型</t>
  </si>
  <si>
    <t>点某条记录的"删除"按钮</t>
  </si>
  <si>
    <t>弹出确认"确认删除？"，确认后该记录消失</t>
  </si>
  <si>
    <t>十三、编辑（房源/房间/租客）</t>
  </si>
  <si>
    <t>我的房源 → 点"测试楼A"</t>
  </si>
  <si>
    <t>进入房间列表</t>
  </si>
  <si>
    <t>找"编辑房源"入口</t>
  </si>
  <si>
    <t>进入编辑房源页，标题"编辑房源"</t>
  </si>
  <si>
    <t>修改名称为：测试楼A（已翻新）</t>
  </si>
  <si>
    <t>点保存</t>
  </si>
  <si>
    <t>弹"房源已更新"，返回列表显示新名称</t>
  </si>
  <si>
    <t>房间列表 → 点 101</t>
  </si>
  <si>
    <t>进入房间详情</t>
  </si>
  <si>
    <t>找"编辑房间"入口</t>
  </si>
  <si>
    <t>进入"编辑房间信息"页</t>
  </si>
  <si>
    <t>修改租金为：2800</t>
  </si>
  <si>
    <t>弹"更新成功"或类似提示</t>
  </si>
  <si>
    <t>房间详情找"编辑租客"入口</t>
  </si>
  <si>
    <t>进入"编辑租客"页，能改电话</t>
  </si>
  <si>
    <t>十四、退租 + 重新出租</t>
  </si>
  <si>
    <t>房间详情 → 找"退租"按钮</t>
  </si>
  <si>
    <t>弹出确认框"确认退租？"</t>
  </si>
  <si>
    <t>确认退租</t>
  </si>
  <si>
    <t>弹"退租成功"提示</t>
  </si>
  <si>
    <t>看房间状态</t>
  </si>
  <si>
    <t>租客信息消失，状态变回"空着"或"未出租"</t>
  </si>
  <si>
    <t>看房间列表/首页</t>
  </si>
  <si>
    <t>101 房间显示"空着"标签</t>
  </si>
  <si>
    <t>点"去登记"重新出租</t>
  </si>
  <si>
    <t>进入登记租客页</t>
  </si>
  <si>
    <t>填新租客：李女士，电话 13987654321，收租日 10 号</t>
  </si>
  <si>
    <t>保存</t>
  </si>
  <si>
    <t>房间状态变回"已出租"，租客显示"李女士"</t>
  </si>
  <si>
    <t>十五、收租统计</t>
  </si>
  <si>
    <t>点底部"统计"或在"我的"找统计入口</t>
  </si>
  <si>
    <t>进入收租统计页</t>
  </si>
  <si>
    <t>看本月数据</t>
  </si>
  <si>
    <t>应收 / 实收 / 欠收三项都有数字显示（不能是 NaN 或 ???）</t>
  </si>
  <si>
    <t>切换到"上月"</t>
  </si>
  <si>
    <t>数据切换，显示上月的应收/实收/欠收</t>
  </si>
  <si>
    <t>切换到"本季度"或"近 3 月"</t>
  </si>
  <si>
    <t>显示季度汇总，金额是 3 个月之和</t>
  </si>
  <si>
    <t>看图表/进度条（如有）</t>
  </si>
  <si>
    <t>收款率有可视化显示，颜色和图例正常</t>
  </si>
  <si>
    <t>十六、个人中心</t>
  </si>
  <si>
    <t>点底部"我的"</t>
  </si>
  <si>
    <t>显示头像、名字、一排菜单项</t>
  </si>
  <si>
    <t>点"房东资料"</t>
  </si>
  <si>
    <t>能查看/编辑姓名、电话</t>
  </si>
  <si>
    <t>点"默认收款码"</t>
  </si>
  <si>
    <t>跳转到收款码设置页</t>
  </si>
  <si>
    <t>点"帮助说明"</t>
  </si>
  <si>
    <t>显示常见问题列表（FAQ）</t>
  </si>
  <si>
    <t>点"隐私政策"</t>
  </si>
  <si>
    <t>显示一段隐私政策文字（不能是空白）</t>
  </si>
  <si>
    <t>点"用户协议"</t>
  </si>
  <si>
    <t>显示用户协议文字</t>
  </si>
  <si>
    <t>十七、添加第二个房间 / 房源</t>
  </si>
  <si>
    <t>房间列表页 → 点"+"</t>
  </si>
  <si>
    <t>进入添加房间页</t>
  </si>
  <si>
    <t>添加 102，租金 2200，状态"空着"</t>
  </si>
  <si>
    <t>保存后弹窗点"稍后再说"</t>
  </si>
  <si>
    <t>返回房间列表</t>
  </si>
  <si>
    <t>显示 101（已出租）+ 102（空着）</t>
  </si>
  <si>
    <t>看列表顶部统计</t>
  </si>
  <si>
    <t>总数 2、空着 1、已租 1（数字对得上）</t>
  </si>
  <si>
    <t>我的房源 → 点"+"加第二套"阳光花园"</t>
  </si>
  <si>
    <t>流程跟加第一个房源一样</t>
  </si>
  <si>
    <t>保存后看房源列表</t>
  </si>
  <si>
    <t>能看到两个房源卡片</t>
  </si>
  <si>
    <t>十八、房间筛选 Tab</t>
  </si>
  <si>
    <t>房间列表页 → 点 Tab"空着"</t>
  </si>
  <si>
    <t>只显示空着的房间（如 102）</t>
  </si>
  <si>
    <t>点 Tab"已出租"</t>
  </si>
  <si>
    <t>只显示已出租的（如 101）</t>
  </si>
  <si>
    <t>点 Tab"全部"</t>
  </si>
  <si>
    <t>显示所有房间</t>
  </si>
  <si>
    <t>看 Tab 切换反应速度</t>
  </si>
  <si>
    <t>切换后 1 秒内列表更新完，不卡死</t>
  </si>
  <si>
    <t>总体评估（每个场景跑完后在这里勾一下）</t>
  </si>
  <si>
    <t>编号</t>
  </si>
  <si>
    <t>通过率</t>
  </si>
  <si>
    <t>备注</t>
  </si>
  <si>
    <t>总通过率</t>
  </si>
  <si>
    <t>🟢 16+/18 通过（第六步必过）= 可发真实用户 | 🟡 13-15 = 小范围试用 | 🔴 ≤12 或第六步没过 = 返工</t>
  </si>
  <si>
    <t>发现问题时，按这个格式记，开发看得懂</t>
  </si>
  <si>
    <t>在哪个步骤</t>
  </si>
  <si>
    <t>例如：第六步 / 第 5 小步</t>
  </si>
  <si>
    <t>你做了什么</t>
  </si>
  <si>
    <t>例如：点了"复制文字"按钮</t>
  </si>
  <si>
    <t>你期望看到</t>
  </si>
  <si>
    <t>例如：弹出"文字已复制"提示</t>
  </si>
  <si>
    <t>实际看到</t>
  </si>
  <si>
    <t>例如：什么都没发生，按钮变灰</t>
  </si>
  <si>
    <t>截图</t>
  </si>
  <si>
    <t>（贴一张图在这里）</t>
  </si>
  <si>
    <t>示例条目</t>
  </si>
  <si>
    <t>六 / 5</t>
  </si>
  <si>
    <t>点了"复制文字"按钮</t>
  </si>
  <si>
    <t>弹出"文字已复制，可以发给租客了"</t>
  </si>
  <si>
    <t>点了没反应，按钮颜色没变化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</si>
</sst>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color rgb="FF1F2937"/>
      <name val="宋体"/>
      <charset val="134"/>
      <scheme val="minor"/>
    </font>
    <font>
      <sz val="11"/>
      <color rgb="FF1F2937"/>
      <name val="宋体"/>
      <charset val="134"/>
      <scheme val="minor"/>
    </font>
    <font>
      <b/>
      <sz val="12"/>
      <color rgb="FF0F766E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rgb="FF0F766E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i/>
      <sz val="10"/>
      <color rgb="FF1F2937"/>
      <name val="宋体"/>
      <charset val="134"/>
      <scheme val="minor"/>
    </font>
    <font>
      <b/>
      <sz val="12"/>
      <color rgb="FF17324D"/>
      <name val="宋体"/>
      <charset val="134"/>
      <scheme val="minor"/>
    </font>
    <font>
      <b/>
      <sz val="11"/>
      <name val="宋体"/>
      <charset val="134"/>
      <scheme val="minor"/>
    </font>
    <font>
      <b/>
      <sz val="18"/>
      <color rgb="FFFFFFFF"/>
      <name val="宋体"/>
      <charset val="134"/>
      <scheme val="minor"/>
    </font>
    <font>
      <b/>
      <sz val="13"/>
      <color rgb="FF0F766E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8F3F1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F4F6F8"/>
        <bgColor indexed="64"/>
      </patternFill>
    </fill>
    <fill>
      <patternFill patternType="solid">
        <fgColor rgb="FFFBF3D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7" borderId="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8" borderId="5" applyNumberFormat="0" applyAlignment="0" applyProtection="0">
      <alignment vertical="center"/>
    </xf>
    <xf numFmtId="0" fontId="25" fillId="9" borderId="6" applyNumberFormat="0" applyAlignment="0" applyProtection="0">
      <alignment vertical="center"/>
    </xf>
    <xf numFmtId="0" fontId="26" fillId="9" borderId="5" applyNumberFormat="0" applyAlignment="0" applyProtection="0">
      <alignment vertical="center"/>
    </xf>
    <xf numFmtId="0" fontId="27" fillId="10" borderId="7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 indent="1"/>
    </xf>
    <xf numFmtId="0" fontId="9" fillId="2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left" vertical="center" wrapText="1" indent="1"/>
    </xf>
    <xf numFmtId="0" fontId="10" fillId="3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4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DCFCE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"/>
  <sheetViews>
    <sheetView showGridLines="0" workbookViewId="0">
      <selection activeCell="A3" sqref="A3:B19"/>
    </sheetView>
  </sheetViews>
  <sheetFormatPr defaultColWidth="9" defaultRowHeight="24" customHeight="1" outlineLevelCol="1"/>
  <cols>
    <col min="1" max="1" width="22" customWidth="1"/>
    <col min="2" max="2" width="80" customWidth="1"/>
  </cols>
  <sheetData>
    <row r="1" ht="38" customHeight="1" spans="1:2">
      <c r="A1" s="28" t="s">
        <v>0</v>
      </c>
      <c r="B1" s="28"/>
    </row>
    <row r="2" ht="13.5" spans="1:2">
      <c r="A2" s="2" t="s">
        <v>1</v>
      </c>
      <c r="B2" s="3" t="s">
        <v>1</v>
      </c>
    </row>
    <row r="3" ht="13.5" spans="1:2">
      <c r="A3" s="2" t="s">
        <v>2</v>
      </c>
      <c r="B3" s="3" t="s">
        <v>3</v>
      </c>
    </row>
    <row r="4" ht="13.5" spans="1:2">
      <c r="A4" s="2" t="s">
        <v>4</v>
      </c>
      <c r="B4" s="3" t="s">
        <v>5</v>
      </c>
    </row>
    <row r="5" ht="13.5" spans="1:2">
      <c r="A5" s="2" t="s">
        <v>6</v>
      </c>
      <c r="B5" s="3" t="s">
        <v>7</v>
      </c>
    </row>
    <row r="6" ht="13.5" spans="1:2">
      <c r="A6" s="2" t="s">
        <v>1</v>
      </c>
      <c r="B6" s="3" t="s">
        <v>1</v>
      </c>
    </row>
    <row r="7" ht="16.9" spans="1:2">
      <c r="A7" s="29" t="s">
        <v>8</v>
      </c>
      <c r="B7" s="5" t="s">
        <v>1</v>
      </c>
    </row>
    <row r="8" ht="13.5" spans="1:2">
      <c r="A8" s="2" t="s">
        <v>9</v>
      </c>
      <c r="B8" s="3" t="s">
        <v>10</v>
      </c>
    </row>
    <row r="9" ht="13.5" spans="1:2">
      <c r="A9" s="2" t="s">
        <v>11</v>
      </c>
      <c r="B9" s="3" t="s">
        <v>12</v>
      </c>
    </row>
    <row r="10" ht="13.5" spans="1:2">
      <c r="A10" s="2" t="s">
        <v>13</v>
      </c>
      <c r="B10" s="3" t="s">
        <v>14</v>
      </c>
    </row>
    <row r="11" ht="13.5" spans="1:2">
      <c r="A11" s="2" t="s">
        <v>1</v>
      </c>
      <c r="B11" s="3" t="s">
        <v>1</v>
      </c>
    </row>
    <row r="12" ht="13.5" spans="1:2">
      <c r="A12" s="2" t="s">
        <v>15</v>
      </c>
      <c r="B12" s="3" t="s">
        <v>16</v>
      </c>
    </row>
    <row r="13" ht="13.5" spans="1:2">
      <c r="A13" s="2" t="s">
        <v>17</v>
      </c>
      <c r="B13" s="3" t="s">
        <v>18</v>
      </c>
    </row>
    <row r="14" ht="13.5" spans="1:2">
      <c r="A14" s="2" t="s">
        <v>1</v>
      </c>
      <c r="B14" s="3" t="s">
        <v>1</v>
      </c>
    </row>
    <row r="15" ht="13.5" spans="1:2">
      <c r="A15" s="2" t="s">
        <v>19</v>
      </c>
      <c r="B15" s="3" t="s">
        <v>20</v>
      </c>
    </row>
    <row r="16" ht="13.5" spans="1:2">
      <c r="A16" s="2" t="s">
        <v>21</v>
      </c>
      <c r="B16" s="3" t="s">
        <v>22</v>
      </c>
    </row>
    <row r="17" ht="13.5" spans="1:2">
      <c r="A17" s="2" t="s">
        <v>1</v>
      </c>
      <c r="B17" s="3" t="s">
        <v>1</v>
      </c>
    </row>
    <row r="18" ht="13.5" spans="1:2">
      <c r="A18" s="2" t="s">
        <v>23</v>
      </c>
      <c r="B18" s="3" t="s">
        <v>24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34"/>
  <sheetViews>
    <sheetView showGridLines="0" tabSelected="1" topLeftCell="A17" workbookViewId="0">
      <selection activeCell="B27" sqref="$A27:$XFD27"/>
    </sheetView>
  </sheetViews>
  <sheetFormatPr defaultColWidth="9" defaultRowHeight="38" customHeight="1" outlineLevelCol="5"/>
  <cols>
    <col min="1" max="1" width="8" customWidth="1"/>
    <col min="2" max="2" width="6" customWidth="1"/>
    <col min="3" max="3" width="48.4601769911504" customWidth="1"/>
    <col min="4" max="4" width="50" customWidth="1"/>
    <col min="5" max="5" width="14" customWidth="1"/>
    <col min="6" max="6" width="30" customWidth="1"/>
  </cols>
  <sheetData>
    <row r="1" ht="34" customHeight="1" spans="1:6">
      <c r="A1" s="8" t="s">
        <v>25</v>
      </c>
      <c r="B1" s="8"/>
      <c r="C1" s="8"/>
      <c r="D1" s="8"/>
      <c r="E1" s="8"/>
      <c r="F1" s="8"/>
    </row>
    <row r="2" ht="22" customHeight="1" spans="1:6">
      <c r="A2" s="24" t="s">
        <v>26</v>
      </c>
      <c r="B2" s="24"/>
      <c r="C2" s="24"/>
      <c r="D2" s="24"/>
      <c r="E2" s="24"/>
      <c r="F2" s="24"/>
    </row>
    <row r="3" ht="28" customHeight="1" spans="1:6">
      <c r="A3" s="25" t="s">
        <v>27</v>
      </c>
      <c r="B3" s="25" t="s">
        <v>28</v>
      </c>
      <c r="C3" s="25" t="s">
        <v>29</v>
      </c>
      <c r="D3" s="25" t="s">
        <v>30</v>
      </c>
      <c r="E3" s="25" t="s">
        <v>31</v>
      </c>
      <c r="F3" s="25" t="s">
        <v>32</v>
      </c>
    </row>
    <row r="4" ht="13.5" spans="1:6">
      <c r="A4" s="26" t="s">
        <v>33</v>
      </c>
      <c r="B4" s="10">
        <v>1</v>
      </c>
      <c r="C4" s="14" t="s">
        <v>34</v>
      </c>
      <c r="D4" s="14" t="s">
        <v>35</v>
      </c>
      <c r="E4" s="27" t="s">
        <v>36</v>
      </c>
      <c r="F4" s="14" t="s">
        <v>1</v>
      </c>
    </row>
    <row r="5" spans="1:6">
      <c r="A5" s="26"/>
      <c r="B5" s="10">
        <v>2</v>
      </c>
      <c r="C5" s="19" t="s">
        <v>37</v>
      </c>
      <c r="D5" s="19" t="s">
        <v>38</v>
      </c>
      <c r="E5" s="27" t="s">
        <v>39</v>
      </c>
      <c r="F5" s="19" t="s">
        <v>1</v>
      </c>
    </row>
    <row r="6" spans="1:6">
      <c r="A6" s="26"/>
      <c r="B6" s="10">
        <v>3</v>
      </c>
      <c r="C6" s="14" t="s">
        <v>40</v>
      </c>
      <c r="D6" s="14" t="s">
        <v>41</v>
      </c>
      <c r="E6" s="27" t="s">
        <v>39</v>
      </c>
      <c r="F6" s="14" t="s">
        <v>1</v>
      </c>
    </row>
    <row r="7" ht="27" spans="1:6">
      <c r="A7" s="26"/>
      <c r="B7" s="10">
        <v>4</v>
      </c>
      <c r="C7" s="19" t="s">
        <v>42</v>
      </c>
      <c r="D7" s="19" t="s">
        <v>43</v>
      </c>
      <c r="E7" s="27" t="s">
        <v>39</v>
      </c>
      <c r="F7" s="19" t="s">
        <v>1</v>
      </c>
    </row>
    <row r="8" ht="27" spans="1:6">
      <c r="A8" s="26"/>
      <c r="B8" s="10">
        <v>5</v>
      </c>
      <c r="C8" s="14" t="s">
        <v>44</v>
      </c>
      <c r="D8" s="14" t="s">
        <v>45</v>
      </c>
      <c r="E8" s="27" t="s">
        <v>39</v>
      </c>
      <c r="F8" s="14" t="s">
        <v>1</v>
      </c>
    </row>
    <row r="9" spans="1:6">
      <c r="A9" s="26" t="s">
        <v>46</v>
      </c>
      <c r="B9" s="10">
        <v>1</v>
      </c>
      <c r="C9" s="14" t="s">
        <v>47</v>
      </c>
      <c r="D9" s="14" t="s">
        <v>48</v>
      </c>
      <c r="E9" s="27" t="s">
        <v>39</v>
      </c>
      <c r="F9" s="14" t="s">
        <v>1</v>
      </c>
    </row>
    <row r="10" spans="1:6">
      <c r="A10" s="26"/>
      <c r="B10" s="10">
        <v>2</v>
      </c>
      <c r="C10" s="19" t="s">
        <v>49</v>
      </c>
      <c r="D10" s="19" t="s">
        <v>50</v>
      </c>
      <c r="E10" s="27" t="s">
        <v>39</v>
      </c>
      <c r="F10" s="19" t="s">
        <v>1</v>
      </c>
    </row>
    <row r="11" spans="1:6">
      <c r="A11" s="26"/>
      <c r="B11" s="10">
        <v>3</v>
      </c>
      <c r="C11" s="14" t="s">
        <v>51</v>
      </c>
      <c r="D11" s="14" t="s">
        <v>52</v>
      </c>
      <c r="E11" s="27" t="s">
        <v>39</v>
      </c>
      <c r="F11" s="14" t="s">
        <v>1</v>
      </c>
    </row>
    <row r="12" spans="1:6">
      <c r="A12" s="26"/>
      <c r="B12" s="10">
        <v>4</v>
      </c>
      <c r="C12" s="19" t="s">
        <v>53</v>
      </c>
      <c r="D12" s="19" t="s">
        <v>54</v>
      </c>
      <c r="E12" s="27" t="s">
        <v>39</v>
      </c>
      <c r="F12" s="19" t="s">
        <v>1</v>
      </c>
    </row>
    <row r="13" spans="1:6">
      <c r="A13" s="26"/>
      <c r="B13" s="10">
        <v>5</v>
      </c>
      <c r="C13" s="14" t="s">
        <v>55</v>
      </c>
      <c r="D13" s="14" t="s">
        <v>56</v>
      </c>
      <c r="E13" s="27" t="s">
        <v>39</v>
      </c>
      <c r="F13" s="14" t="s">
        <v>1</v>
      </c>
    </row>
    <row r="14" spans="1:6">
      <c r="A14" s="26"/>
      <c r="B14" s="10">
        <v>6</v>
      </c>
      <c r="C14" s="19" t="s">
        <v>57</v>
      </c>
      <c r="D14" s="19" t="s">
        <v>58</v>
      </c>
      <c r="E14" s="27" t="s">
        <v>39</v>
      </c>
      <c r="F14" s="19" t="s">
        <v>1</v>
      </c>
    </row>
    <row r="15" spans="1:6">
      <c r="A15" s="26"/>
      <c r="B15" s="10">
        <v>7</v>
      </c>
      <c r="C15" s="14" t="s">
        <v>59</v>
      </c>
      <c r="D15" s="14" t="s">
        <v>60</v>
      </c>
      <c r="E15" s="27" t="s">
        <v>39</v>
      </c>
      <c r="F15" s="14" t="s">
        <v>1</v>
      </c>
    </row>
    <row r="16" spans="1:6">
      <c r="A16" s="26"/>
      <c r="B16" s="10">
        <v>8</v>
      </c>
      <c r="C16" s="19" t="s">
        <v>61</v>
      </c>
      <c r="D16" s="19" t="s">
        <v>62</v>
      </c>
      <c r="E16" s="27" t="s">
        <v>39</v>
      </c>
      <c r="F16" s="19" t="s">
        <v>1</v>
      </c>
    </row>
    <row r="17" spans="1:6">
      <c r="A17" s="26"/>
      <c r="B17" s="10">
        <v>9</v>
      </c>
      <c r="C17" s="14" t="s">
        <v>63</v>
      </c>
      <c r="D17" s="14" t="s">
        <v>64</v>
      </c>
      <c r="E17" s="27" t="s">
        <v>39</v>
      </c>
      <c r="F17" s="14" t="s">
        <v>1</v>
      </c>
    </row>
    <row r="18" ht="27" spans="1:6">
      <c r="A18" s="26"/>
      <c r="B18" s="10">
        <v>10</v>
      </c>
      <c r="C18" s="19" t="s">
        <v>65</v>
      </c>
      <c r="D18" s="19" t="s">
        <v>66</v>
      </c>
      <c r="E18" s="27" t="s">
        <v>39</v>
      </c>
      <c r="F18" s="19" t="s">
        <v>1</v>
      </c>
    </row>
    <row r="19" spans="1:6">
      <c r="A19" s="26" t="s">
        <v>67</v>
      </c>
      <c r="B19" s="10">
        <v>1</v>
      </c>
      <c r="C19" s="14" t="s">
        <v>68</v>
      </c>
      <c r="D19" s="14" t="s">
        <v>69</v>
      </c>
      <c r="E19" s="27" t="s">
        <v>39</v>
      </c>
      <c r="F19" s="14" t="s">
        <v>1</v>
      </c>
    </row>
    <row r="20" spans="1:6">
      <c r="A20" s="26"/>
      <c r="B20" s="10">
        <v>2</v>
      </c>
      <c r="C20" s="19" t="s">
        <v>70</v>
      </c>
      <c r="D20" s="19" t="s">
        <v>71</v>
      </c>
      <c r="E20" s="27" t="s">
        <v>39</v>
      </c>
      <c r="F20" s="19" t="s">
        <v>1</v>
      </c>
    </row>
    <row r="21" spans="1:6">
      <c r="A21" s="26"/>
      <c r="B21" s="10">
        <v>3</v>
      </c>
      <c r="C21" s="14" t="s">
        <v>72</v>
      </c>
      <c r="D21" s="14" t="s">
        <v>73</v>
      </c>
      <c r="E21" s="27" t="s">
        <v>39</v>
      </c>
      <c r="F21" s="14" t="s">
        <v>1</v>
      </c>
    </row>
    <row r="22" spans="1:6">
      <c r="A22" s="26"/>
      <c r="B22" s="10">
        <v>4</v>
      </c>
      <c r="C22" s="19" t="s">
        <v>74</v>
      </c>
      <c r="D22" s="19" t="s">
        <v>75</v>
      </c>
      <c r="E22" s="27" t="s">
        <v>39</v>
      </c>
      <c r="F22" s="19" t="s">
        <v>1</v>
      </c>
    </row>
    <row r="23" spans="1:6">
      <c r="A23" s="26"/>
      <c r="B23" s="10">
        <v>5</v>
      </c>
      <c r="C23" s="14" t="s">
        <v>76</v>
      </c>
      <c r="D23" s="14" t="s">
        <v>77</v>
      </c>
      <c r="E23" s="27" t="s">
        <v>39</v>
      </c>
      <c r="F23" s="14" t="s">
        <v>1</v>
      </c>
    </row>
    <row r="24" spans="1:6">
      <c r="A24" s="26"/>
      <c r="B24" s="10">
        <v>6</v>
      </c>
      <c r="C24" s="19" t="s">
        <v>78</v>
      </c>
      <c r="D24" s="19" t="s">
        <v>79</v>
      </c>
      <c r="E24" s="27" t="s">
        <v>39</v>
      </c>
      <c r="F24" s="19" t="s">
        <v>1</v>
      </c>
    </row>
    <row r="25" spans="1:6">
      <c r="A25" s="26"/>
      <c r="B25" s="10">
        <v>7</v>
      </c>
      <c r="C25" s="14" t="s">
        <v>80</v>
      </c>
      <c r="D25" s="14" t="s">
        <v>81</v>
      </c>
      <c r="E25" s="27" t="s">
        <v>39</v>
      </c>
      <c r="F25" s="14" t="s">
        <v>1</v>
      </c>
    </row>
    <row r="26" spans="1:6">
      <c r="A26" s="26"/>
      <c r="B26" s="10">
        <v>8</v>
      </c>
      <c r="C26" s="19" t="s">
        <v>82</v>
      </c>
      <c r="D26" s="19" t="s">
        <v>83</v>
      </c>
      <c r="E26" s="27" t="s">
        <v>39</v>
      </c>
      <c r="F26" s="19" t="s">
        <v>1</v>
      </c>
    </row>
    <row r="27" ht="27" spans="1:6">
      <c r="A27" s="26"/>
      <c r="B27" s="10">
        <v>9</v>
      </c>
      <c r="C27" s="14" t="s">
        <v>84</v>
      </c>
      <c r="D27" s="14" t="s">
        <v>85</v>
      </c>
      <c r="E27" s="27" t="s">
        <v>36</v>
      </c>
      <c r="F27" s="14" t="s">
        <v>1</v>
      </c>
    </row>
    <row r="28" ht="13.5" spans="1:6">
      <c r="A28" s="26"/>
      <c r="B28" s="10">
        <v>10</v>
      </c>
      <c r="C28" s="19" t="s">
        <v>86</v>
      </c>
      <c r="D28" s="19" t="s">
        <v>87</v>
      </c>
      <c r="E28" s="27" t="s">
        <v>36</v>
      </c>
      <c r="F28" s="19" t="s">
        <v>1</v>
      </c>
    </row>
    <row r="29" ht="13.5" spans="1:6">
      <c r="A29" s="26"/>
      <c r="B29" s="10">
        <v>11</v>
      </c>
      <c r="C29" s="14" t="s">
        <v>88</v>
      </c>
      <c r="D29" s="14" t="s">
        <v>73</v>
      </c>
      <c r="E29" s="27" t="s">
        <v>36</v>
      </c>
      <c r="F29" s="14" t="s">
        <v>1</v>
      </c>
    </row>
    <row r="30" ht="13.5" spans="1:6">
      <c r="A30" s="26"/>
      <c r="B30" s="10">
        <v>12</v>
      </c>
      <c r="C30" s="19" t="s">
        <v>89</v>
      </c>
      <c r="D30" s="19" t="s">
        <v>90</v>
      </c>
      <c r="E30" s="27" t="s">
        <v>36</v>
      </c>
      <c r="F30" s="19" t="s">
        <v>1</v>
      </c>
    </row>
    <row r="31" ht="13.5" spans="1:6">
      <c r="A31" s="26" t="s">
        <v>91</v>
      </c>
      <c r="B31" s="10">
        <v>1</v>
      </c>
      <c r="C31" s="14" t="s">
        <v>92</v>
      </c>
      <c r="D31" s="14" t="s">
        <v>93</v>
      </c>
      <c r="E31" s="27" t="s">
        <v>36</v>
      </c>
      <c r="F31" s="14" t="s">
        <v>1</v>
      </c>
    </row>
    <row r="32" ht="13.5" spans="1:6">
      <c r="A32" s="26"/>
      <c r="B32" s="10">
        <v>2</v>
      </c>
      <c r="C32" s="19" t="s">
        <v>94</v>
      </c>
      <c r="D32" s="19" t="s">
        <v>95</v>
      </c>
      <c r="E32" s="27" t="s">
        <v>36</v>
      </c>
      <c r="F32" s="19" t="s">
        <v>1</v>
      </c>
    </row>
    <row r="33" ht="13.5" spans="1:6">
      <c r="A33" s="26"/>
      <c r="B33" s="10">
        <v>3</v>
      </c>
      <c r="C33" s="14" t="s">
        <v>96</v>
      </c>
      <c r="D33" s="14" t="s">
        <v>97</v>
      </c>
      <c r="E33" s="27" t="s">
        <v>36</v>
      </c>
      <c r="F33" s="14" t="s">
        <v>1</v>
      </c>
    </row>
    <row r="34" ht="13.5" spans="1:6">
      <c r="A34" s="26"/>
      <c r="B34" s="10">
        <v>4</v>
      </c>
      <c r="C34" s="19" t="s">
        <v>98</v>
      </c>
      <c r="D34" s="19" t="s">
        <v>73</v>
      </c>
      <c r="E34" s="27" t="s">
        <v>36</v>
      </c>
      <c r="F34" s="19" t="s">
        <v>1</v>
      </c>
    </row>
    <row r="35" ht="13.5" spans="1:6">
      <c r="A35" s="26"/>
      <c r="B35" s="10">
        <v>5</v>
      </c>
      <c r="C35" s="14" t="s">
        <v>99</v>
      </c>
      <c r="D35" s="14" t="s">
        <v>100</v>
      </c>
      <c r="E35" s="27" t="s">
        <v>36</v>
      </c>
      <c r="F35" s="14" t="s">
        <v>1</v>
      </c>
    </row>
    <row r="36" ht="13.5" spans="1:6">
      <c r="A36" s="26"/>
      <c r="B36" s="10">
        <v>6</v>
      </c>
      <c r="C36" s="19" t="s">
        <v>101</v>
      </c>
      <c r="D36" s="19" t="s">
        <v>102</v>
      </c>
      <c r="E36" s="27" t="s">
        <v>36</v>
      </c>
      <c r="F36" s="19" t="s">
        <v>1</v>
      </c>
    </row>
    <row r="37" ht="13.5" spans="1:6">
      <c r="A37" s="26"/>
      <c r="B37" s="10">
        <v>7</v>
      </c>
      <c r="C37" s="14" t="s">
        <v>103</v>
      </c>
      <c r="D37" s="14" t="s">
        <v>104</v>
      </c>
      <c r="E37" s="27" t="s">
        <v>36</v>
      </c>
      <c r="F37" s="14" t="s">
        <v>1</v>
      </c>
    </row>
    <row r="38" ht="13.5" spans="1:6">
      <c r="A38" s="26"/>
      <c r="B38" s="10">
        <v>8</v>
      </c>
      <c r="C38" s="19" t="s">
        <v>105</v>
      </c>
      <c r="D38" s="19" t="s">
        <v>106</v>
      </c>
      <c r="E38" s="27" t="s">
        <v>36</v>
      </c>
      <c r="F38" s="19" t="s">
        <v>1</v>
      </c>
    </row>
    <row r="39" ht="13.5" spans="1:6">
      <c r="A39" s="26"/>
      <c r="B39" s="10">
        <v>9</v>
      </c>
      <c r="C39" s="14" t="s">
        <v>107</v>
      </c>
      <c r="D39" s="14" t="s">
        <v>108</v>
      </c>
      <c r="E39" s="27" t="s">
        <v>36</v>
      </c>
      <c r="F39" s="14" t="s">
        <v>1</v>
      </c>
    </row>
    <row r="40" ht="13.5" spans="1:6">
      <c r="A40" s="26"/>
      <c r="B40" s="10">
        <v>10</v>
      </c>
      <c r="C40" s="19" t="s">
        <v>109</v>
      </c>
      <c r="D40" s="19" t="s">
        <v>110</v>
      </c>
      <c r="E40" s="27" t="s">
        <v>36</v>
      </c>
      <c r="F40" s="19" t="s">
        <v>1</v>
      </c>
    </row>
    <row r="41" ht="13.5" spans="1:6">
      <c r="A41" s="26"/>
      <c r="B41" s="10">
        <v>11</v>
      </c>
      <c r="C41" s="14" t="s">
        <v>111</v>
      </c>
      <c r="D41" s="14" t="s">
        <v>112</v>
      </c>
      <c r="E41" s="27" t="s">
        <v>36</v>
      </c>
      <c r="F41" s="14" t="s">
        <v>1</v>
      </c>
    </row>
    <row r="42" ht="13.5" spans="1:6">
      <c r="A42" s="26"/>
      <c r="B42" s="10">
        <v>12</v>
      </c>
      <c r="C42" s="19" t="s">
        <v>113</v>
      </c>
      <c r="D42" s="19" t="s">
        <v>114</v>
      </c>
      <c r="E42" s="27" t="s">
        <v>36</v>
      </c>
      <c r="F42" s="19" t="s">
        <v>1</v>
      </c>
    </row>
    <row r="43" ht="13.5" spans="1:6">
      <c r="A43" s="26"/>
      <c r="B43" s="10">
        <v>13</v>
      </c>
      <c r="C43" s="14" t="s">
        <v>89</v>
      </c>
      <c r="D43" s="14" t="s">
        <v>115</v>
      </c>
      <c r="E43" s="27" t="s">
        <v>36</v>
      </c>
      <c r="F43" s="14" t="s">
        <v>1</v>
      </c>
    </row>
    <row r="44" ht="13.5" spans="1:6">
      <c r="A44" s="26" t="s">
        <v>116</v>
      </c>
      <c r="B44" s="10">
        <v>1</v>
      </c>
      <c r="C44" s="14" t="s">
        <v>117</v>
      </c>
      <c r="D44" s="14" t="s">
        <v>118</v>
      </c>
      <c r="E44" s="27" t="s">
        <v>36</v>
      </c>
      <c r="F44" s="14" t="s">
        <v>1</v>
      </c>
    </row>
    <row r="45" ht="27" spans="1:6">
      <c r="A45" s="26"/>
      <c r="B45" s="10">
        <v>2</v>
      </c>
      <c r="C45" s="19" t="s">
        <v>119</v>
      </c>
      <c r="D45" s="19" t="s">
        <v>120</v>
      </c>
      <c r="E45" s="27" t="s">
        <v>36</v>
      </c>
      <c r="F45" s="19" t="s">
        <v>1</v>
      </c>
    </row>
    <row r="46" ht="13.5" spans="1:6">
      <c r="A46" s="26"/>
      <c r="B46" s="10">
        <v>3</v>
      </c>
      <c r="C46" s="14" t="s">
        <v>121</v>
      </c>
      <c r="D46" s="14" t="s">
        <v>122</v>
      </c>
      <c r="E46" s="27" t="s">
        <v>36</v>
      </c>
      <c r="F46" s="14" t="s">
        <v>1</v>
      </c>
    </row>
    <row r="47" ht="27" spans="1:6">
      <c r="A47" s="26"/>
      <c r="B47" s="10">
        <v>4</v>
      </c>
      <c r="C47" s="19" t="s">
        <v>123</v>
      </c>
      <c r="D47" s="19" t="s">
        <v>124</v>
      </c>
      <c r="E47" s="27" t="s">
        <v>36</v>
      </c>
      <c r="F47" s="19" t="s">
        <v>1</v>
      </c>
    </row>
    <row r="48" ht="27" spans="1:6">
      <c r="A48" s="26"/>
      <c r="B48" s="10">
        <v>5</v>
      </c>
      <c r="C48" s="14" t="s">
        <v>125</v>
      </c>
      <c r="D48" s="14" t="s">
        <v>126</v>
      </c>
      <c r="E48" s="27" t="s">
        <v>36</v>
      </c>
      <c r="F48" s="14" t="s">
        <v>1</v>
      </c>
    </row>
    <row r="49" ht="13.5" spans="1:6">
      <c r="A49" s="26" t="s">
        <v>127</v>
      </c>
      <c r="B49" s="10">
        <v>1</v>
      </c>
      <c r="C49" s="14" t="s">
        <v>128</v>
      </c>
      <c r="D49" s="14" t="s">
        <v>129</v>
      </c>
      <c r="E49" s="27" t="s">
        <v>36</v>
      </c>
      <c r="F49" s="14" t="s">
        <v>1</v>
      </c>
    </row>
    <row r="50" ht="13.5" spans="1:6">
      <c r="A50" s="26"/>
      <c r="B50" s="10">
        <v>2</v>
      </c>
      <c r="C50" s="19" t="s">
        <v>130</v>
      </c>
      <c r="D50" s="19" t="s">
        <v>131</v>
      </c>
      <c r="E50" s="27" t="s">
        <v>36</v>
      </c>
      <c r="F50" s="19" t="s">
        <v>1</v>
      </c>
    </row>
    <row r="51" ht="13.5" spans="1:6">
      <c r="A51" s="26"/>
      <c r="B51" s="10">
        <v>3</v>
      </c>
      <c r="C51" s="14" t="s">
        <v>132</v>
      </c>
      <c r="D51" s="14" t="s">
        <v>133</v>
      </c>
      <c r="E51" s="27" t="s">
        <v>36</v>
      </c>
      <c r="F51" s="14" t="s">
        <v>1</v>
      </c>
    </row>
    <row r="52" ht="27" spans="1:6">
      <c r="A52" s="26"/>
      <c r="B52" s="10">
        <v>4</v>
      </c>
      <c r="C52" s="19" t="s">
        <v>134</v>
      </c>
      <c r="D52" s="19" t="s">
        <v>135</v>
      </c>
      <c r="E52" s="27" t="s">
        <v>36</v>
      </c>
      <c r="F52" s="19" t="s">
        <v>1</v>
      </c>
    </row>
    <row r="53" ht="13.5" spans="1:6">
      <c r="A53" s="26"/>
      <c r="B53" s="10">
        <v>5</v>
      </c>
      <c r="C53" s="14" t="s">
        <v>136</v>
      </c>
      <c r="D53" s="14" t="s">
        <v>137</v>
      </c>
      <c r="E53" s="27" t="s">
        <v>36</v>
      </c>
      <c r="F53" s="14" t="s">
        <v>1</v>
      </c>
    </row>
    <row r="54" ht="27" spans="1:6">
      <c r="A54" s="26"/>
      <c r="B54" s="10">
        <v>6</v>
      </c>
      <c r="C54" s="19" t="s">
        <v>138</v>
      </c>
      <c r="D54" s="19" t="s">
        <v>139</v>
      </c>
      <c r="E54" s="27" t="s">
        <v>36</v>
      </c>
      <c r="F54" s="19" t="s">
        <v>1</v>
      </c>
    </row>
    <row r="55" ht="13.5" spans="1:6">
      <c r="A55" s="26"/>
      <c r="B55" s="10">
        <v>7</v>
      </c>
      <c r="C55" s="14" t="s">
        <v>140</v>
      </c>
      <c r="D55" s="14" t="s">
        <v>141</v>
      </c>
      <c r="E55" s="27" t="s">
        <v>36</v>
      </c>
      <c r="F55" s="14" t="s">
        <v>1</v>
      </c>
    </row>
    <row r="56" ht="13.5" spans="1:6">
      <c r="A56" s="26"/>
      <c r="B56" s="10">
        <v>8</v>
      </c>
      <c r="C56" s="19" t="s">
        <v>142</v>
      </c>
      <c r="D56" s="19" t="s">
        <v>143</v>
      </c>
      <c r="E56" s="27" t="s">
        <v>36</v>
      </c>
      <c r="F56" s="19" t="s">
        <v>1</v>
      </c>
    </row>
    <row r="57" ht="27" spans="1:6">
      <c r="A57" s="26"/>
      <c r="B57" s="10">
        <v>9</v>
      </c>
      <c r="C57" s="14" t="s">
        <v>144</v>
      </c>
      <c r="D57" s="14" t="s">
        <v>145</v>
      </c>
      <c r="E57" s="27" t="s">
        <v>36</v>
      </c>
      <c r="F57" s="14" t="s">
        <v>1</v>
      </c>
    </row>
    <row r="58" ht="13.5" spans="1:6">
      <c r="A58" s="26" t="s">
        <v>146</v>
      </c>
      <c r="B58" s="10">
        <v>1</v>
      </c>
      <c r="C58" s="14" t="s">
        <v>147</v>
      </c>
      <c r="D58" s="14" t="s">
        <v>148</v>
      </c>
      <c r="E58" s="27" t="s">
        <v>36</v>
      </c>
      <c r="F58" s="14" t="s">
        <v>1</v>
      </c>
    </row>
    <row r="59" ht="13.5" spans="1:6">
      <c r="A59" s="26"/>
      <c r="B59" s="10">
        <v>2</v>
      </c>
      <c r="C59" s="19" t="s">
        <v>149</v>
      </c>
      <c r="D59" s="19" t="s">
        <v>150</v>
      </c>
      <c r="E59" s="27" t="s">
        <v>36</v>
      </c>
      <c r="F59" s="19" t="s">
        <v>1</v>
      </c>
    </row>
    <row r="60" ht="13.5" spans="1:6">
      <c r="A60" s="26"/>
      <c r="B60" s="10">
        <v>3</v>
      </c>
      <c r="C60" s="14" t="s">
        <v>151</v>
      </c>
      <c r="D60" s="14" t="s">
        <v>152</v>
      </c>
      <c r="E60" s="27" t="s">
        <v>36</v>
      </c>
      <c r="F60" s="14" t="s">
        <v>1</v>
      </c>
    </row>
    <row r="61" ht="13.5" spans="1:6">
      <c r="A61" s="26"/>
      <c r="B61" s="10">
        <v>4</v>
      </c>
      <c r="C61" s="19" t="s">
        <v>153</v>
      </c>
      <c r="D61" s="19" t="s">
        <v>154</v>
      </c>
      <c r="E61" s="27" t="s">
        <v>36</v>
      </c>
      <c r="F61" s="19" t="s">
        <v>1</v>
      </c>
    </row>
    <row r="62" ht="13.5" spans="1:6">
      <c r="A62" s="26"/>
      <c r="B62" s="10">
        <v>5</v>
      </c>
      <c r="C62" s="14" t="s">
        <v>155</v>
      </c>
      <c r="D62" s="14" t="s">
        <v>156</v>
      </c>
      <c r="E62" s="27" t="s">
        <v>36</v>
      </c>
      <c r="F62" s="14" t="s">
        <v>1</v>
      </c>
    </row>
    <row r="63" ht="13.5" spans="1:6">
      <c r="A63" s="26"/>
      <c r="B63" s="10">
        <v>6</v>
      </c>
      <c r="C63" s="19" t="s">
        <v>157</v>
      </c>
      <c r="D63" s="19" t="s">
        <v>73</v>
      </c>
      <c r="E63" s="27" t="s">
        <v>36</v>
      </c>
      <c r="F63" s="19" t="s">
        <v>1</v>
      </c>
    </row>
    <row r="64" ht="27" spans="1:6">
      <c r="A64" s="26"/>
      <c r="B64" s="10">
        <v>7</v>
      </c>
      <c r="C64" s="14" t="s">
        <v>158</v>
      </c>
      <c r="D64" s="14" t="s">
        <v>73</v>
      </c>
      <c r="E64" s="27" t="s">
        <v>36</v>
      </c>
      <c r="F64" s="14" t="s">
        <v>1</v>
      </c>
    </row>
    <row r="65" ht="13.5" spans="1:6">
      <c r="A65" s="26"/>
      <c r="B65" s="10">
        <v>8</v>
      </c>
      <c r="C65" s="19" t="s">
        <v>89</v>
      </c>
      <c r="D65" s="19" t="s">
        <v>159</v>
      </c>
      <c r="E65" s="27" t="s">
        <v>36</v>
      </c>
      <c r="F65" s="19" t="s">
        <v>1</v>
      </c>
    </row>
    <row r="66" ht="13.5" spans="1:6">
      <c r="A66" s="26"/>
      <c r="B66" s="10">
        <v>9</v>
      </c>
      <c r="C66" s="14" t="s">
        <v>160</v>
      </c>
      <c r="D66" s="14" t="s">
        <v>161</v>
      </c>
      <c r="E66" s="27" t="s">
        <v>36</v>
      </c>
      <c r="F66" s="14" t="s">
        <v>1</v>
      </c>
    </row>
    <row r="67" ht="13.5" spans="1:6">
      <c r="A67" s="26" t="s">
        <v>162</v>
      </c>
      <c r="B67" s="10">
        <v>1</v>
      </c>
      <c r="C67" s="14" t="s">
        <v>163</v>
      </c>
      <c r="D67" s="14" t="s">
        <v>164</v>
      </c>
      <c r="E67" s="27" t="s">
        <v>36</v>
      </c>
      <c r="F67" s="14" t="s">
        <v>1</v>
      </c>
    </row>
    <row r="68" ht="27" spans="1:6">
      <c r="A68" s="26"/>
      <c r="B68" s="10">
        <v>2</v>
      </c>
      <c r="C68" s="19" t="s">
        <v>165</v>
      </c>
      <c r="D68" s="19" t="s">
        <v>166</v>
      </c>
      <c r="E68" s="27" t="s">
        <v>36</v>
      </c>
      <c r="F68" s="19" t="s">
        <v>1</v>
      </c>
    </row>
    <row r="69" ht="13.5" spans="1:6">
      <c r="A69" s="26"/>
      <c r="B69" s="10">
        <v>3</v>
      </c>
      <c r="C69" s="14" t="s">
        <v>167</v>
      </c>
      <c r="D69" s="14" t="s">
        <v>168</v>
      </c>
      <c r="E69" s="27" t="s">
        <v>36</v>
      </c>
      <c r="F69" s="14" t="s">
        <v>1</v>
      </c>
    </row>
    <row r="70" ht="13.5" spans="1:6">
      <c r="A70" s="26"/>
      <c r="B70" s="10">
        <v>4</v>
      </c>
      <c r="C70" s="19" t="s">
        <v>169</v>
      </c>
      <c r="D70" s="19" t="s">
        <v>170</v>
      </c>
      <c r="E70" s="27" t="s">
        <v>36</v>
      </c>
      <c r="F70" s="19" t="s">
        <v>1</v>
      </c>
    </row>
    <row r="71" ht="13.5" spans="1:6">
      <c r="A71" s="26"/>
      <c r="B71" s="10">
        <v>5</v>
      </c>
      <c r="C71" s="14" t="s">
        <v>171</v>
      </c>
      <c r="D71" s="14" t="s">
        <v>172</v>
      </c>
      <c r="E71" s="27" t="s">
        <v>36</v>
      </c>
      <c r="F71" s="14" t="s">
        <v>1</v>
      </c>
    </row>
    <row r="72" ht="13.5" spans="1:6">
      <c r="A72" s="26" t="s">
        <v>173</v>
      </c>
      <c r="B72" s="10">
        <v>1</v>
      </c>
      <c r="C72" s="14" t="s">
        <v>174</v>
      </c>
      <c r="D72" s="14" t="s">
        <v>175</v>
      </c>
      <c r="E72" s="27" t="s">
        <v>36</v>
      </c>
      <c r="F72" s="14" t="s">
        <v>1</v>
      </c>
    </row>
    <row r="73" ht="13.5" spans="1:6">
      <c r="A73" s="26"/>
      <c r="B73" s="10">
        <v>2</v>
      </c>
      <c r="C73" s="19" t="s">
        <v>176</v>
      </c>
      <c r="D73" s="19" t="s">
        <v>177</v>
      </c>
      <c r="E73" s="27" t="s">
        <v>36</v>
      </c>
      <c r="F73" s="19" t="s">
        <v>1</v>
      </c>
    </row>
    <row r="74" ht="13.5" spans="1:6">
      <c r="A74" s="26"/>
      <c r="B74" s="10">
        <v>3</v>
      </c>
      <c r="C74" s="14" t="s">
        <v>178</v>
      </c>
      <c r="D74" s="14" t="s">
        <v>179</v>
      </c>
      <c r="E74" s="27" t="s">
        <v>36</v>
      </c>
      <c r="F74" s="14" t="s">
        <v>1</v>
      </c>
    </row>
    <row r="75" ht="13.5" spans="1:6">
      <c r="A75" s="26"/>
      <c r="B75" s="10">
        <v>4</v>
      </c>
      <c r="C75" s="19" t="s">
        <v>180</v>
      </c>
      <c r="D75" s="19" t="s">
        <v>181</v>
      </c>
      <c r="E75" s="27" t="s">
        <v>36</v>
      </c>
      <c r="F75" s="19" t="s">
        <v>1</v>
      </c>
    </row>
    <row r="76" ht="13.5" spans="1:6">
      <c r="A76" s="26"/>
      <c r="B76" s="10">
        <v>5</v>
      </c>
      <c r="C76" s="14" t="s">
        <v>182</v>
      </c>
      <c r="D76" s="14" t="s">
        <v>183</v>
      </c>
      <c r="E76" s="27" t="s">
        <v>36</v>
      </c>
      <c r="F76" s="14" t="s">
        <v>1</v>
      </c>
    </row>
    <row r="77" ht="27" spans="1:6">
      <c r="A77" s="26" t="s">
        <v>184</v>
      </c>
      <c r="B77" s="10">
        <v>1</v>
      </c>
      <c r="C77" s="14" t="s">
        <v>185</v>
      </c>
      <c r="D77" s="14" t="s">
        <v>186</v>
      </c>
      <c r="E77" s="27" t="s">
        <v>36</v>
      </c>
      <c r="F77" s="14" t="s">
        <v>1</v>
      </c>
    </row>
    <row r="78" ht="13.5" spans="1:6">
      <c r="A78" s="26"/>
      <c r="B78" s="10">
        <v>2</v>
      </c>
      <c r="C78" s="19" t="s">
        <v>187</v>
      </c>
      <c r="D78" s="19" t="s">
        <v>188</v>
      </c>
      <c r="E78" s="27" t="s">
        <v>36</v>
      </c>
      <c r="F78" s="19" t="s">
        <v>1</v>
      </c>
    </row>
    <row r="79" ht="13.5" spans="1:6">
      <c r="A79" s="26"/>
      <c r="B79" s="10">
        <v>3</v>
      </c>
      <c r="C79" s="14" t="s">
        <v>189</v>
      </c>
      <c r="D79" s="14" t="s">
        <v>190</v>
      </c>
      <c r="E79" s="27" t="s">
        <v>36</v>
      </c>
      <c r="F79" s="14" t="s">
        <v>1</v>
      </c>
    </row>
    <row r="80" ht="13.5" spans="1:6">
      <c r="A80" s="26"/>
      <c r="B80" s="10">
        <v>4</v>
      </c>
      <c r="C80" s="19" t="s">
        <v>191</v>
      </c>
      <c r="D80" s="19" t="s">
        <v>73</v>
      </c>
      <c r="E80" s="27" t="s">
        <v>36</v>
      </c>
      <c r="F80" s="19" t="s">
        <v>1</v>
      </c>
    </row>
    <row r="81" ht="13.5" spans="1:6">
      <c r="A81" s="26"/>
      <c r="B81" s="10">
        <v>5</v>
      </c>
      <c r="C81" s="14" t="s">
        <v>192</v>
      </c>
      <c r="D81" s="14" t="s">
        <v>73</v>
      </c>
      <c r="E81" s="27" t="s">
        <v>36</v>
      </c>
      <c r="F81" s="14" t="s">
        <v>1</v>
      </c>
    </row>
    <row r="82" ht="13.5" spans="1:6">
      <c r="A82" s="26"/>
      <c r="B82" s="10">
        <v>6</v>
      </c>
      <c r="C82" s="19" t="s">
        <v>193</v>
      </c>
      <c r="D82" s="19" t="s">
        <v>194</v>
      </c>
      <c r="E82" s="27" t="s">
        <v>36</v>
      </c>
      <c r="F82" s="19" t="s">
        <v>1</v>
      </c>
    </row>
    <row r="83" ht="13.5" spans="1:6">
      <c r="A83" s="26"/>
      <c r="B83" s="10">
        <v>7</v>
      </c>
      <c r="C83" s="14" t="s">
        <v>195</v>
      </c>
      <c r="D83" s="14" t="s">
        <v>196</v>
      </c>
      <c r="E83" s="27" t="s">
        <v>36</v>
      </c>
      <c r="F83" s="14" t="s">
        <v>1</v>
      </c>
    </row>
    <row r="84" ht="27" spans="1:6">
      <c r="A84" s="26" t="s">
        <v>197</v>
      </c>
      <c r="B84" s="10">
        <v>1</v>
      </c>
      <c r="C84" s="14" t="s">
        <v>198</v>
      </c>
      <c r="D84" s="14" t="s">
        <v>199</v>
      </c>
      <c r="E84" s="27" t="s">
        <v>36</v>
      </c>
      <c r="F84" s="14" t="s">
        <v>1</v>
      </c>
    </row>
    <row r="85" ht="13.5" spans="1:6">
      <c r="A85" s="26"/>
      <c r="B85" s="10">
        <v>2</v>
      </c>
      <c r="C85" s="19" t="s">
        <v>200</v>
      </c>
      <c r="D85" s="19" t="s">
        <v>201</v>
      </c>
      <c r="E85" s="27" t="s">
        <v>36</v>
      </c>
      <c r="F85" s="19" t="s">
        <v>1</v>
      </c>
    </row>
    <row r="86" ht="13.5" spans="1:6">
      <c r="A86" s="26"/>
      <c r="B86" s="10">
        <v>3</v>
      </c>
      <c r="C86" s="14" t="s">
        <v>202</v>
      </c>
      <c r="D86" s="14" t="s">
        <v>203</v>
      </c>
      <c r="E86" s="27" t="s">
        <v>36</v>
      </c>
      <c r="F86" s="14" t="s">
        <v>1</v>
      </c>
    </row>
    <row r="87" ht="13.5" spans="1:6">
      <c r="A87" s="26"/>
      <c r="B87" s="10">
        <v>4</v>
      </c>
      <c r="C87" s="19" t="s">
        <v>204</v>
      </c>
      <c r="D87" s="19" t="s">
        <v>205</v>
      </c>
      <c r="E87" s="27" t="s">
        <v>36</v>
      </c>
      <c r="F87" s="19" t="s">
        <v>1</v>
      </c>
    </row>
    <row r="88" ht="13.5" spans="1:6">
      <c r="A88" s="26"/>
      <c r="B88" s="10">
        <v>5</v>
      </c>
      <c r="C88" s="14" t="s">
        <v>206</v>
      </c>
      <c r="D88" s="14" t="s">
        <v>207</v>
      </c>
      <c r="E88" s="27" t="s">
        <v>36</v>
      </c>
      <c r="F88" s="14" t="s">
        <v>1</v>
      </c>
    </row>
    <row r="89" ht="13.5" spans="1:6">
      <c r="A89" s="26"/>
      <c r="B89" s="10">
        <v>6</v>
      </c>
      <c r="C89" s="19" t="s">
        <v>208</v>
      </c>
      <c r="D89" s="19" t="s">
        <v>209</v>
      </c>
      <c r="E89" s="27" t="s">
        <v>36</v>
      </c>
      <c r="F89" s="19" t="s">
        <v>1</v>
      </c>
    </row>
    <row r="90" ht="13.5" spans="1:6">
      <c r="A90" s="26"/>
      <c r="B90" s="10">
        <v>7</v>
      </c>
      <c r="C90" s="14" t="s">
        <v>210</v>
      </c>
      <c r="D90" s="14" t="s">
        <v>211</v>
      </c>
      <c r="E90" s="27" t="s">
        <v>36</v>
      </c>
      <c r="F90" s="14" t="s">
        <v>1</v>
      </c>
    </row>
    <row r="91" ht="27" spans="1:6">
      <c r="A91" s="26" t="s">
        <v>212</v>
      </c>
      <c r="B91" s="10">
        <v>1</v>
      </c>
      <c r="C91" s="14" t="s">
        <v>213</v>
      </c>
      <c r="D91" s="14" t="s">
        <v>214</v>
      </c>
      <c r="E91" s="27" t="s">
        <v>36</v>
      </c>
      <c r="F91" s="14" t="s">
        <v>1</v>
      </c>
    </row>
    <row r="92" ht="13.5" spans="1:6">
      <c r="A92" s="26"/>
      <c r="B92" s="10">
        <v>2</v>
      </c>
      <c r="C92" s="19" t="s">
        <v>215</v>
      </c>
      <c r="D92" s="19" t="s">
        <v>152</v>
      </c>
      <c r="E92" s="27" t="s">
        <v>36</v>
      </c>
      <c r="F92" s="19" t="s">
        <v>1</v>
      </c>
    </row>
    <row r="93" ht="13.5" spans="1:6">
      <c r="A93" s="26"/>
      <c r="B93" s="10">
        <v>3</v>
      </c>
      <c r="C93" s="14" t="s">
        <v>216</v>
      </c>
      <c r="D93" s="14" t="s">
        <v>217</v>
      </c>
      <c r="E93" s="27" t="s">
        <v>36</v>
      </c>
      <c r="F93" s="14" t="s">
        <v>1</v>
      </c>
    </row>
    <row r="94" ht="13.5" spans="1:6">
      <c r="A94" s="26"/>
      <c r="B94" s="10">
        <v>4</v>
      </c>
      <c r="C94" s="19" t="s">
        <v>218</v>
      </c>
      <c r="D94" s="19" t="s">
        <v>219</v>
      </c>
      <c r="E94" s="27" t="s">
        <v>36</v>
      </c>
      <c r="F94" s="19" t="s">
        <v>1</v>
      </c>
    </row>
    <row r="95" ht="13.5" spans="1:6">
      <c r="A95" s="26"/>
      <c r="B95" s="10">
        <v>5</v>
      </c>
      <c r="C95" s="14" t="s">
        <v>220</v>
      </c>
      <c r="D95" s="14" t="s">
        <v>221</v>
      </c>
      <c r="E95" s="27" t="s">
        <v>36</v>
      </c>
      <c r="F95" s="14" t="s">
        <v>1</v>
      </c>
    </row>
    <row r="96" ht="13.5" spans="1:6">
      <c r="A96" s="26"/>
      <c r="B96" s="10">
        <v>6</v>
      </c>
      <c r="C96" s="19" t="s">
        <v>222</v>
      </c>
      <c r="D96" s="19" t="s">
        <v>223</v>
      </c>
      <c r="E96" s="27" t="s">
        <v>36</v>
      </c>
      <c r="F96" s="19" t="s">
        <v>1</v>
      </c>
    </row>
    <row r="97" ht="13.5" spans="1:6">
      <c r="A97" s="26" t="s">
        <v>224</v>
      </c>
      <c r="B97" s="10">
        <v>1</v>
      </c>
      <c r="C97" s="14" t="s">
        <v>225</v>
      </c>
      <c r="D97" s="14" t="s">
        <v>226</v>
      </c>
      <c r="E97" s="27" t="s">
        <v>36</v>
      </c>
      <c r="F97" s="14" t="s">
        <v>1</v>
      </c>
    </row>
    <row r="98" ht="13.5" spans="1:6">
      <c r="A98" s="26"/>
      <c r="B98" s="10">
        <v>2</v>
      </c>
      <c r="C98" s="19" t="s">
        <v>227</v>
      </c>
      <c r="D98" s="19" t="s">
        <v>228</v>
      </c>
      <c r="E98" s="27" t="s">
        <v>36</v>
      </c>
      <c r="F98" s="19" t="s">
        <v>1</v>
      </c>
    </row>
    <row r="99" ht="27" spans="1:6">
      <c r="A99" s="26"/>
      <c r="B99" s="10">
        <v>3</v>
      </c>
      <c r="C99" s="14" t="s">
        <v>229</v>
      </c>
      <c r="D99" s="14" t="s">
        <v>73</v>
      </c>
      <c r="E99" s="27" t="s">
        <v>36</v>
      </c>
      <c r="F99" s="14" t="s">
        <v>1</v>
      </c>
    </row>
    <row r="100" ht="13.5" spans="1:6">
      <c r="A100" s="26"/>
      <c r="B100" s="10">
        <v>4</v>
      </c>
      <c r="C100" s="19" t="s">
        <v>230</v>
      </c>
      <c r="D100" s="19" t="s">
        <v>231</v>
      </c>
      <c r="E100" s="27" t="s">
        <v>36</v>
      </c>
      <c r="F100" s="19" t="s">
        <v>1</v>
      </c>
    </row>
    <row r="101" ht="13.5" spans="1:6">
      <c r="A101" s="26"/>
      <c r="B101" s="10">
        <v>5</v>
      </c>
      <c r="C101" s="14" t="s">
        <v>232</v>
      </c>
      <c r="D101" s="14" t="s">
        <v>233</v>
      </c>
      <c r="E101" s="27" t="s">
        <v>36</v>
      </c>
      <c r="F101" s="14" t="s">
        <v>1</v>
      </c>
    </row>
    <row r="102" ht="13.5" spans="1:6">
      <c r="A102" s="26"/>
      <c r="B102" s="10">
        <v>6</v>
      </c>
      <c r="C102" s="19" t="s">
        <v>234</v>
      </c>
      <c r="D102" s="19" t="s">
        <v>235</v>
      </c>
      <c r="E102" s="27" t="s">
        <v>36</v>
      </c>
      <c r="F102" s="19" t="s">
        <v>1</v>
      </c>
    </row>
    <row r="103" ht="13.5" spans="1:6">
      <c r="A103" s="26"/>
      <c r="B103" s="10">
        <v>7</v>
      </c>
      <c r="C103" s="14" t="s">
        <v>236</v>
      </c>
      <c r="D103" s="14" t="s">
        <v>73</v>
      </c>
      <c r="E103" s="27" t="s">
        <v>36</v>
      </c>
      <c r="F103" s="14" t="s">
        <v>1</v>
      </c>
    </row>
    <row r="104" ht="13.5" spans="1:6">
      <c r="A104" s="26"/>
      <c r="B104" s="10">
        <v>8</v>
      </c>
      <c r="C104" s="19" t="s">
        <v>230</v>
      </c>
      <c r="D104" s="19" t="s">
        <v>237</v>
      </c>
      <c r="E104" s="27" t="s">
        <v>36</v>
      </c>
      <c r="F104" s="19" t="s">
        <v>1</v>
      </c>
    </row>
    <row r="105" ht="13.5" spans="1:6">
      <c r="A105" s="26"/>
      <c r="B105" s="10">
        <v>9</v>
      </c>
      <c r="C105" s="14" t="s">
        <v>238</v>
      </c>
      <c r="D105" s="14" t="s">
        <v>239</v>
      </c>
      <c r="E105" s="27" t="s">
        <v>36</v>
      </c>
      <c r="F105" s="14" t="s">
        <v>1</v>
      </c>
    </row>
    <row r="106" ht="13.5" spans="1:6">
      <c r="A106" s="26" t="s">
        <v>240</v>
      </c>
      <c r="B106" s="10">
        <v>1</v>
      </c>
      <c r="C106" s="14" t="s">
        <v>241</v>
      </c>
      <c r="D106" s="14" t="s">
        <v>242</v>
      </c>
      <c r="E106" s="27" t="s">
        <v>36</v>
      </c>
      <c r="F106" s="14" t="s">
        <v>1</v>
      </c>
    </row>
    <row r="107" ht="13.5" spans="1:6">
      <c r="A107" s="26"/>
      <c r="B107" s="10">
        <v>2</v>
      </c>
      <c r="C107" s="19" t="s">
        <v>243</v>
      </c>
      <c r="D107" s="19" t="s">
        <v>244</v>
      </c>
      <c r="E107" s="27" t="s">
        <v>36</v>
      </c>
      <c r="F107" s="19" t="s">
        <v>1</v>
      </c>
    </row>
    <row r="108" ht="13.5" spans="1:6">
      <c r="A108" s="26"/>
      <c r="B108" s="10">
        <v>3</v>
      </c>
      <c r="C108" s="14" t="s">
        <v>245</v>
      </c>
      <c r="D108" s="14" t="s">
        <v>246</v>
      </c>
      <c r="E108" s="27" t="s">
        <v>36</v>
      </c>
      <c r="F108" s="14" t="s">
        <v>1</v>
      </c>
    </row>
    <row r="109" ht="13.5" spans="1:6">
      <c r="A109" s="26"/>
      <c r="B109" s="10">
        <v>4</v>
      </c>
      <c r="C109" s="19" t="s">
        <v>247</v>
      </c>
      <c r="D109" s="19" t="s">
        <v>248</v>
      </c>
      <c r="E109" s="27" t="s">
        <v>36</v>
      </c>
      <c r="F109" s="19" t="s">
        <v>1</v>
      </c>
    </row>
    <row r="110" ht="13.5" spans="1:6">
      <c r="A110" s="26"/>
      <c r="B110" s="10">
        <v>5</v>
      </c>
      <c r="C110" s="14" t="s">
        <v>249</v>
      </c>
      <c r="D110" s="14" t="s">
        <v>250</v>
      </c>
      <c r="E110" s="27" t="s">
        <v>36</v>
      </c>
      <c r="F110" s="14" t="s">
        <v>1</v>
      </c>
    </row>
    <row r="111" ht="27" spans="1:6">
      <c r="A111" s="26"/>
      <c r="B111" s="10">
        <v>6</v>
      </c>
      <c r="C111" s="19" t="s">
        <v>251</v>
      </c>
      <c r="D111" s="19" t="s">
        <v>73</v>
      </c>
      <c r="E111" s="27" t="s">
        <v>36</v>
      </c>
      <c r="F111" s="19" t="s">
        <v>1</v>
      </c>
    </row>
    <row r="112" ht="13.5" spans="1:6">
      <c r="A112" s="26"/>
      <c r="B112" s="10">
        <v>7</v>
      </c>
      <c r="C112" s="14" t="s">
        <v>252</v>
      </c>
      <c r="D112" s="14" t="s">
        <v>253</v>
      </c>
      <c r="E112" s="27" t="s">
        <v>36</v>
      </c>
      <c r="F112" s="14" t="s">
        <v>1</v>
      </c>
    </row>
    <row r="113" ht="27" spans="1:6">
      <c r="A113" s="26" t="s">
        <v>254</v>
      </c>
      <c r="B113" s="10">
        <v>1</v>
      </c>
      <c r="C113" s="14" t="s">
        <v>255</v>
      </c>
      <c r="D113" s="14" t="s">
        <v>256</v>
      </c>
      <c r="E113" s="27" t="s">
        <v>36</v>
      </c>
      <c r="F113" s="14" t="s">
        <v>1</v>
      </c>
    </row>
    <row r="114" ht="27" spans="1:6">
      <c r="A114" s="26"/>
      <c r="B114" s="10">
        <v>2</v>
      </c>
      <c r="C114" s="19" t="s">
        <v>257</v>
      </c>
      <c r="D114" s="19" t="s">
        <v>258</v>
      </c>
      <c r="E114" s="27" t="s">
        <v>36</v>
      </c>
      <c r="F114" s="19" t="s">
        <v>1</v>
      </c>
    </row>
    <row r="115" ht="13.5" spans="1:6">
      <c r="A115" s="26"/>
      <c r="B115" s="10">
        <v>3</v>
      </c>
      <c r="C115" s="14" t="s">
        <v>259</v>
      </c>
      <c r="D115" s="14" t="s">
        <v>260</v>
      </c>
      <c r="E115" s="27" t="s">
        <v>36</v>
      </c>
      <c r="F115" s="14" t="s">
        <v>1</v>
      </c>
    </row>
    <row r="116" ht="13.5" spans="1:6">
      <c r="A116" s="26"/>
      <c r="B116" s="10">
        <v>4</v>
      </c>
      <c r="C116" s="19" t="s">
        <v>261</v>
      </c>
      <c r="D116" s="19" t="s">
        <v>262</v>
      </c>
      <c r="E116" s="27" t="s">
        <v>36</v>
      </c>
      <c r="F116" s="19" t="s">
        <v>1</v>
      </c>
    </row>
    <row r="117" ht="13.5" spans="1:6">
      <c r="A117" s="26"/>
      <c r="B117" s="10">
        <v>5</v>
      </c>
      <c r="C117" s="14" t="s">
        <v>263</v>
      </c>
      <c r="D117" s="14" t="s">
        <v>264</v>
      </c>
      <c r="E117" s="27" t="s">
        <v>36</v>
      </c>
      <c r="F117" s="14" t="s">
        <v>1</v>
      </c>
    </row>
    <row r="118" ht="13.5" spans="1:6">
      <c r="A118" s="26" t="s">
        <v>265</v>
      </c>
      <c r="B118" s="10">
        <v>1</v>
      </c>
      <c r="C118" s="14" t="s">
        <v>266</v>
      </c>
      <c r="D118" s="14" t="s">
        <v>267</v>
      </c>
      <c r="E118" s="27" t="s">
        <v>36</v>
      </c>
      <c r="F118" s="14" t="s">
        <v>1</v>
      </c>
    </row>
    <row r="119" ht="13.5" spans="1:6">
      <c r="A119" s="26"/>
      <c r="B119" s="10">
        <v>2</v>
      </c>
      <c r="C119" s="19" t="s">
        <v>268</v>
      </c>
      <c r="D119" s="19" t="s">
        <v>269</v>
      </c>
      <c r="E119" s="27" t="s">
        <v>36</v>
      </c>
      <c r="F119" s="19" t="s">
        <v>1</v>
      </c>
    </row>
    <row r="120" ht="13.5" spans="1:6">
      <c r="A120" s="26"/>
      <c r="B120" s="10">
        <v>3</v>
      </c>
      <c r="C120" s="14" t="s">
        <v>270</v>
      </c>
      <c r="D120" s="14" t="s">
        <v>271</v>
      </c>
      <c r="E120" s="27" t="s">
        <v>36</v>
      </c>
      <c r="F120" s="14" t="s">
        <v>1</v>
      </c>
    </row>
    <row r="121" ht="13.5" spans="1:6">
      <c r="A121" s="26"/>
      <c r="B121" s="10">
        <v>4</v>
      </c>
      <c r="C121" s="19" t="s">
        <v>272</v>
      </c>
      <c r="D121" s="19" t="s">
        <v>273</v>
      </c>
      <c r="E121" s="27" t="s">
        <v>36</v>
      </c>
      <c r="F121" s="19" t="s">
        <v>1</v>
      </c>
    </row>
    <row r="122" ht="13.5" spans="1:6">
      <c r="A122" s="26"/>
      <c r="B122" s="10">
        <v>5</v>
      </c>
      <c r="C122" s="14" t="s">
        <v>274</v>
      </c>
      <c r="D122" s="14" t="s">
        <v>275</v>
      </c>
      <c r="E122" s="27" t="s">
        <v>36</v>
      </c>
      <c r="F122" s="14" t="s">
        <v>1</v>
      </c>
    </row>
    <row r="123" ht="13.5" spans="1:6">
      <c r="A123" s="26"/>
      <c r="B123" s="10">
        <v>6</v>
      </c>
      <c r="C123" s="19" t="s">
        <v>276</v>
      </c>
      <c r="D123" s="19" t="s">
        <v>277</v>
      </c>
      <c r="E123" s="27" t="s">
        <v>36</v>
      </c>
      <c r="F123" s="19" t="s">
        <v>1</v>
      </c>
    </row>
    <row r="124" ht="13.5" spans="1:6">
      <c r="A124" s="26" t="s">
        <v>278</v>
      </c>
      <c r="B124" s="10">
        <v>1</v>
      </c>
      <c r="C124" s="14" t="s">
        <v>279</v>
      </c>
      <c r="D124" s="14" t="s">
        <v>280</v>
      </c>
      <c r="E124" s="27" t="s">
        <v>36</v>
      </c>
      <c r="F124" s="14" t="s">
        <v>1</v>
      </c>
    </row>
    <row r="125" ht="27" spans="1:6">
      <c r="A125" s="26"/>
      <c r="B125" s="10">
        <v>2</v>
      </c>
      <c r="C125" s="19" t="s">
        <v>281</v>
      </c>
      <c r="D125" s="19" t="s">
        <v>73</v>
      </c>
      <c r="E125" s="27" t="s">
        <v>36</v>
      </c>
      <c r="F125" s="19" t="s">
        <v>1</v>
      </c>
    </row>
    <row r="126" ht="13.5" spans="1:6">
      <c r="A126" s="26"/>
      <c r="B126" s="10">
        <v>3</v>
      </c>
      <c r="C126" s="14" t="s">
        <v>282</v>
      </c>
      <c r="D126" s="14" t="s">
        <v>283</v>
      </c>
      <c r="E126" s="27" t="s">
        <v>36</v>
      </c>
      <c r="F126" s="14" t="s">
        <v>1</v>
      </c>
    </row>
    <row r="127" ht="13.5" spans="1:6">
      <c r="A127" s="26"/>
      <c r="B127" s="10">
        <v>4</v>
      </c>
      <c r="C127" s="19" t="s">
        <v>176</v>
      </c>
      <c r="D127" s="19" t="s">
        <v>284</v>
      </c>
      <c r="E127" s="27" t="s">
        <v>36</v>
      </c>
      <c r="F127" s="19" t="s">
        <v>1</v>
      </c>
    </row>
    <row r="128" ht="13.5" spans="1:6">
      <c r="A128" s="26"/>
      <c r="B128" s="10">
        <v>5</v>
      </c>
      <c r="C128" s="14" t="s">
        <v>285</v>
      </c>
      <c r="D128" s="14" t="s">
        <v>286</v>
      </c>
      <c r="E128" s="27" t="s">
        <v>36</v>
      </c>
      <c r="F128" s="14" t="s">
        <v>1</v>
      </c>
    </row>
    <row r="129" ht="27" spans="1:6">
      <c r="A129" s="26"/>
      <c r="B129" s="10">
        <v>6</v>
      </c>
      <c r="C129" s="19" t="s">
        <v>287</v>
      </c>
      <c r="D129" s="19" t="s">
        <v>288</v>
      </c>
      <c r="E129" s="27" t="s">
        <v>36</v>
      </c>
      <c r="F129" s="19" t="s">
        <v>1</v>
      </c>
    </row>
    <row r="130" ht="13.5" spans="1:6">
      <c r="A130" s="26"/>
      <c r="B130" s="10">
        <v>7</v>
      </c>
      <c r="C130" s="14" t="s">
        <v>289</v>
      </c>
      <c r="D130" s="14" t="s">
        <v>290</v>
      </c>
      <c r="E130" s="27" t="s">
        <v>36</v>
      </c>
      <c r="F130" s="14" t="s">
        <v>1</v>
      </c>
    </row>
    <row r="131" ht="13.5" spans="1:6">
      <c r="A131" s="26" t="s">
        <v>291</v>
      </c>
      <c r="B131" s="10">
        <v>1</v>
      </c>
      <c r="C131" s="14" t="s">
        <v>292</v>
      </c>
      <c r="D131" s="14" t="s">
        <v>293</v>
      </c>
      <c r="E131" s="27" t="s">
        <v>36</v>
      </c>
      <c r="F131" s="14" t="s">
        <v>1</v>
      </c>
    </row>
    <row r="132" ht="13.5" spans="1:6">
      <c r="A132" s="26"/>
      <c r="B132" s="10">
        <v>2</v>
      </c>
      <c r="C132" s="19" t="s">
        <v>294</v>
      </c>
      <c r="D132" s="19" t="s">
        <v>295</v>
      </c>
      <c r="E132" s="27" t="s">
        <v>36</v>
      </c>
      <c r="F132" s="19" t="s">
        <v>1</v>
      </c>
    </row>
    <row r="133" ht="13.5" spans="1:6">
      <c r="A133" s="26"/>
      <c r="B133" s="10">
        <v>3</v>
      </c>
      <c r="C133" s="14" t="s">
        <v>296</v>
      </c>
      <c r="D133" s="14" t="s">
        <v>297</v>
      </c>
      <c r="E133" s="27" t="s">
        <v>36</v>
      </c>
      <c r="F133" s="14" t="s">
        <v>1</v>
      </c>
    </row>
    <row r="134" ht="13.5" spans="1:6">
      <c r="A134" s="26"/>
      <c r="B134" s="10">
        <v>4</v>
      </c>
      <c r="C134" s="19" t="s">
        <v>298</v>
      </c>
      <c r="D134" s="19" t="s">
        <v>299</v>
      </c>
      <c r="E134" s="27" t="s">
        <v>36</v>
      </c>
      <c r="F134" s="19" t="s">
        <v>1</v>
      </c>
    </row>
  </sheetData>
  <mergeCells count="20">
    <mergeCell ref="A1:F1"/>
    <mergeCell ref="A2:F2"/>
    <mergeCell ref="A4:A8"/>
    <mergeCell ref="A9:A18"/>
    <mergeCell ref="A19:A30"/>
    <mergeCell ref="A31:A43"/>
    <mergeCell ref="A44:A48"/>
    <mergeCell ref="A49:A57"/>
    <mergeCell ref="A58:A66"/>
    <mergeCell ref="A67:A71"/>
    <mergeCell ref="A72:A76"/>
    <mergeCell ref="A77:A83"/>
    <mergeCell ref="A84:A90"/>
    <mergeCell ref="A91:A96"/>
    <mergeCell ref="A97:A105"/>
    <mergeCell ref="A106:A112"/>
    <mergeCell ref="A113:A117"/>
    <mergeCell ref="A118:A123"/>
    <mergeCell ref="A124:A130"/>
    <mergeCell ref="A131:A134"/>
  </mergeCells>
  <conditionalFormatting sqref="E4:E8">
    <cfRule type="containsText" dxfId="0" priority="1" operator="between" text="✅">
      <formula>NOT(ISERROR(SEARCH("✅",E4)))</formula>
    </cfRule>
    <cfRule type="containsText" dxfId="1" priority="2" operator="between" text="❌">
      <formula>NOT(ISERROR(SEARCH("❌",E4)))</formula>
    </cfRule>
    <cfRule type="containsText" dxfId="2" priority="3" operator="between" text="⏳">
      <formula>NOT(ISERROR(SEARCH("⏳",E4)))</formula>
    </cfRule>
  </conditionalFormatting>
  <conditionalFormatting sqref="E9:E18">
    <cfRule type="containsText" dxfId="0" priority="4" operator="between" text="✅">
      <formula>NOT(ISERROR(SEARCH("✅",E9)))</formula>
    </cfRule>
    <cfRule type="containsText" dxfId="1" priority="4" operator="between" text="❌">
      <formula>NOT(ISERROR(SEARCH("❌",E9)))</formula>
    </cfRule>
    <cfRule type="containsText" dxfId="2" priority="4" operator="between" text="⏳">
      <formula>NOT(ISERROR(SEARCH("⏳",E9)))</formula>
    </cfRule>
  </conditionalFormatting>
  <conditionalFormatting sqref="E19:E30">
    <cfRule type="containsText" dxfId="0" priority="5" operator="between" text="✅">
      <formula>NOT(ISERROR(SEARCH("✅",E19)))</formula>
    </cfRule>
    <cfRule type="containsText" dxfId="1" priority="5" operator="between" text="❌">
      <formula>NOT(ISERROR(SEARCH("❌",E19)))</formula>
    </cfRule>
    <cfRule type="containsText" dxfId="2" priority="5" operator="between" text="⏳">
      <formula>NOT(ISERROR(SEARCH("⏳",E19)))</formula>
    </cfRule>
  </conditionalFormatting>
  <conditionalFormatting sqref="E31:E43">
    <cfRule type="containsText" dxfId="0" priority="6" operator="between" text="✅">
      <formula>NOT(ISERROR(SEARCH("✅",E31)))</formula>
    </cfRule>
    <cfRule type="containsText" dxfId="1" priority="6" operator="between" text="❌">
      <formula>NOT(ISERROR(SEARCH("❌",E31)))</formula>
    </cfRule>
    <cfRule type="containsText" dxfId="2" priority="6" operator="between" text="⏳">
      <formula>NOT(ISERROR(SEARCH("⏳",E31)))</formula>
    </cfRule>
  </conditionalFormatting>
  <conditionalFormatting sqref="E44:E48">
    <cfRule type="containsText" dxfId="0" priority="7" operator="between" text="✅">
      <formula>NOT(ISERROR(SEARCH("✅",E44)))</formula>
    </cfRule>
    <cfRule type="containsText" dxfId="1" priority="7" operator="between" text="❌">
      <formula>NOT(ISERROR(SEARCH("❌",E44)))</formula>
    </cfRule>
    <cfRule type="containsText" dxfId="2" priority="7" operator="between" text="⏳">
      <formula>NOT(ISERROR(SEARCH("⏳",E44)))</formula>
    </cfRule>
  </conditionalFormatting>
  <conditionalFormatting sqref="E49:E57">
    <cfRule type="containsText" dxfId="0" priority="8" operator="between" text="✅">
      <formula>NOT(ISERROR(SEARCH("✅",E49)))</formula>
    </cfRule>
    <cfRule type="containsText" dxfId="1" priority="8" operator="between" text="❌">
      <formula>NOT(ISERROR(SEARCH("❌",E49)))</formula>
    </cfRule>
    <cfRule type="containsText" dxfId="2" priority="8" operator="between" text="⏳">
      <formula>NOT(ISERROR(SEARCH("⏳",E49)))</formula>
    </cfRule>
  </conditionalFormatting>
  <conditionalFormatting sqref="E58:E66">
    <cfRule type="containsText" dxfId="0" priority="9" operator="between" text="✅">
      <formula>NOT(ISERROR(SEARCH("✅",E58)))</formula>
    </cfRule>
    <cfRule type="containsText" dxfId="1" priority="9" operator="between" text="❌">
      <formula>NOT(ISERROR(SEARCH("❌",E58)))</formula>
    </cfRule>
    <cfRule type="containsText" dxfId="2" priority="9" operator="between" text="⏳">
      <formula>NOT(ISERROR(SEARCH("⏳",E58)))</formula>
    </cfRule>
  </conditionalFormatting>
  <conditionalFormatting sqref="E67:E71">
    <cfRule type="containsText" dxfId="0" priority="10" operator="between" text="✅">
      <formula>NOT(ISERROR(SEARCH("✅",E67)))</formula>
    </cfRule>
    <cfRule type="containsText" dxfId="1" priority="10" operator="between" text="❌">
      <formula>NOT(ISERROR(SEARCH("❌",E67)))</formula>
    </cfRule>
    <cfRule type="containsText" dxfId="2" priority="10" operator="between" text="⏳">
      <formula>NOT(ISERROR(SEARCH("⏳",E67)))</formula>
    </cfRule>
  </conditionalFormatting>
  <conditionalFormatting sqref="E72:E76">
    <cfRule type="containsText" dxfId="0" priority="11" operator="between" text="✅">
      <formula>NOT(ISERROR(SEARCH("✅",E72)))</formula>
    </cfRule>
    <cfRule type="containsText" dxfId="1" priority="11" operator="between" text="❌">
      <formula>NOT(ISERROR(SEARCH("❌",E72)))</formula>
    </cfRule>
    <cfRule type="containsText" dxfId="2" priority="11" operator="between" text="⏳">
      <formula>NOT(ISERROR(SEARCH("⏳",E72)))</formula>
    </cfRule>
  </conditionalFormatting>
  <conditionalFormatting sqref="E77:E83">
    <cfRule type="containsText" dxfId="0" priority="12" operator="between" text="✅">
      <formula>NOT(ISERROR(SEARCH("✅",E77)))</formula>
    </cfRule>
    <cfRule type="containsText" dxfId="1" priority="12" operator="between" text="❌">
      <formula>NOT(ISERROR(SEARCH("❌",E77)))</formula>
    </cfRule>
    <cfRule type="containsText" dxfId="2" priority="12" operator="between" text="⏳">
      <formula>NOT(ISERROR(SEARCH("⏳",E77)))</formula>
    </cfRule>
  </conditionalFormatting>
  <conditionalFormatting sqref="E84:E90">
    <cfRule type="containsText" dxfId="0" priority="13" operator="between" text="✅">
      <formula>NOT(ISERROR(SEARCH("✅",E84)))</formula>
    </cfRule>
    <cfRule type="containsText" dxfId="1" priority="13" operator="between" text="❌">
      <formula>NOT(ISERROR(SEARCH("❌",E84)))</formula>
    </cfRule>
    <cfRule type="containsText" dxfId="2" priority="13" operator="between" text="⏳">
      <formula>NOT(ISERROR(SEARCH("⏳",E84)))</formula>
    </cfRule>
  </conditionalFormatting>
  <conditionalFormatting sqref="E91:E96">
    <cfRule type="containsText" dxfId="0" priority="14" operator="between" text="✅">
      <formula>NOT(ISERROR(SEARCH("✅",E91)))</formula>
    </cfRule>
    <cfRule type="containsText" dxfId="1" priority="14" operator="between" text="❌">
      <formula>NOT(ISERROR(SEARCH("❌",E91)))</formula>
    </cfRule>
    <cfRule type="containsText" dxfId="2" priority="14" operator="between" text="⏳">
      <formula>NOT(ISERROR(SEARCH("⏳",E91)))</formula>
    </cfRule>
  </conditionalFormatting>
  <conditionalFormatting sqref="E97:E105">
    <cfRule type="containsText" dxfId="0" priority="15" operator="between" text="✅">
      <formula>NOT(ISERROR(SEARCH("✅",E97)))</formula>
    </cfRule>
    <cfRule type="containsText" dxfId="1" priority="15" operator="between" text="❌">
      <formula>NOT(ISERROR(SEARCH("❌",E97)))</formula>
    </cfRule>
    <cfRule type="containsText" dxfId="2" priority="15" operator="between" text="⏳">
      <formula>NOT(ISERROR(SEARCH("⏳",E97)))</formula>
    </cfRule>
  </conditionalFormatting>
  <conditionalFormatting sqref="E106:E112">
    <cfRule type="containsText" dxfId="0" priority="16" operator="between" text="✅">
      <formula>NOT(ISERROR(SEARCH("✅",E106)))</formula>
    </cfRule>
    <cfRule type="containsText" dxfId="1" priority="16" operator="between" text="❌">
      <formula>NOT(ISERROR(SEARCH("❌",E106)))</formula>
    </cfRule>
    <cfRule type="containsText" dxfId="2" priority="16" operator="between" text="⏳">
      <formula>NOT(ISERROR(SEARCH("⏳",E106)))</formula>
    </cfRule>
  </conditionalFormatting>
  <conditionalFormatting sqref="E113:E117">
    <cfRule type="containsText" dxfId="0" priority="17" operator="between" text="✅">
      <formula>NOT(ISERROR(SEARCH("✅",E113)))</formula>
    </cfRule>
    <cfRule type="containsText" dxfId="1" priority="17" operator="between" text="❌">
      <formula>NOT(ISERROR(SEARCH("❌",E113)))</formula>
    </cfRule>
    <cfRule type="containsText" dxfId="2" priority="17" operator="between" text="⏳">
      <formula>NOT(ISERROR(SEARCH("⏳",E113)))</formula>
    </cfRule>
  </conditionalFormatting>
  <conditionalFormatting sqref="E118:E123">
    <cfRule type="containsText" dxfId="0" priority="18" operator="between" text="✅">
      <formula>NOT(ISERROR(SEARCH("✅",E118)))</formula>
    </cfRule>
    <cfRule type="containsText" dxfId="1" priority="18" operator="between" text="❌">
      <formula>NOT(ISERROR(SEARCH("❌",E118)))</formula>
    </cfRule>
    <cfRule type="containsText" dxfId="2" priority="18" operator="between" text="⏳">
      <formula>NOT(ISERROR(SEARCH("⏳",E118)))</formula>
    </cfRule>
  </conditionalFormatting>
  <conditionalFormatting sqref="E124:E130">
    <cfRule type="containsText" dxfId="0" priority="19" operator="between" text="✅">
      <formula>NOT(ISERROR(SEARCH("✅",E124)))</formula>
    </cfRule>
    <cfRule type="containsText" dxfId="1" priority="19" operator="between" text="❌">
      <formula>NOT(ISERROR(SEARCH("❌",E124)))</formula>
    </cfRule>
    <cfRule type="containsText" dxfId="2" priority="19" operator="between" text="⏳">
      <formula>NOT(ISERROR(SEARCH("⏳",E124)))</formula>
    </cfRule>
  </conditionalFormatting>
  <conditionalFormatting sqref="E131:E134">
    <cfRule type="containsText" dxfId="0" priority="20" operator="between" text="✅">
      <formula>NOT(ISERROR(SEARCH("✅",E131)))</formula>
    </cfRule>
    <cfRule type="containsText" dxfId="1" priority="20" operator="between" text="❌">
      <formula>NOT(ISERROR(SEARCH("❌",E131)))</formula>
    </cfRule>
    <cfRule type="containsText" dxfId="2" priority="20" operator="between" text="⏳">
      <formula>NOT(ISERROR(SEARCH("⏳",E131)))</formula>
    </cfRule>
  </conditionalFormatting>
  <dataValidations count="1">
    <dataValidation type="list" showErrorMessage="1" errorTitle="选错了" error="请从下拉框选择：未测 / 通过 / 不通过" sqref="E4:E9 E10:E134">
      <formula1>"⏳未测,✅通过,❌不通过"</formula1>
    </dataValidation>
  </dataValidations>
  <pageMargins left="0.7" right="0.7" top="0.75" bottom="0.75" header="0.3" footer="0.3"/>
  <pageSetup paperSize="9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showGridLines="0" workbookViewId="0">
      <selection activeCell="A1" sqref="A1:E1"/>
    </sheetView>
  </sheetViews>
  <sheetFormatPr defaultColWidth="9" defaultRowHeight="28" customHeight="1" outlineLevelCol="4"/>
  <cols>
    <col min="1" max="1" width="6" customWidth="1"/>
    <col min="2" max="2" width="32" customWidth="1"/>
    <col min="3" max="4" width="16" customWidth="1"/>
    <col min="5" max="5" width="40" customWidth="1"/>
  </cols>
  <sheetData>
    <row r="1" ht="34" customHeight="1" spans="1:5">
      <c r="A1" s="8" t="s">
        <v>300</v>
      </c>
      <c r="B1" s="8"/>
      <c r="C1" s="8"/>
      <c r="D1" s="8"/>
      <c r="E1" s="8"/>
    </row>
    <row r="2" ht="26" customHeight="1" spans="1:5">
      <c r="A2" s="9" t="s">
        <v>301</v>
      </c>
      <c r="B2" s="9" t="s">
        <v>27</v>
      </c>
      <c r="C2" s="9" t="s">
        <v>23</v>
      </c>
      <c r="D2" s="9" t="s">
        <v>302</v>
      </c>
      <c r="E2" s="9" t="s">
        <v>303</v>
      </c>
    </row>
    <row r="3" ht="15.75" spans="1:5">
      <c r="A3" s="10">
        <v>1</v>
      </c>
      <c r="B3" s="11" t="s">
        <v>33</v>
      </c>
      <c r="C3" s="12" t="s">
        <v>36</v>
      </c>
      <c r="D3" s="13" t="str">
        <f>TEXT(COUNTIF(测试用例!E4:E8,"*✅*")/(5),"0%")</f>
        <v>80%</v>
      </c>
      <c r="E3" s="14" t="s">
        <v>1</v>
      </c>
    </row>
    <row r="4" ht="15.75" spans="1:5">
      <c r="A4" s="15">
        <v>2</v>
      </c>
      <c r="B4" s="16" t="s">
        <v>46</v>
      </c>
      <c r="C4" s="17" t="s">
        <v>36</v>
      </c>
      <c r="D4" s="18" t="str">
        <f>TEXT(COUNTIF(测试用例!E9:E18,"*✅*")/(10),"0%")</f>
        <v>100%</v>
      </c>
      <c r="E4" s="19" t="s">
        <v>1</v>
      </c>
    </row>
    <row r="5" ht="15.75" spans="1:5">
      <c r="A5" s="10">
        <v>3</v>
      </c>
      <c r="B5" s="11" t="s">
        <v>67</v>
      </c>
      <c r="C5" s="12" t="s">
        <v>36</v>
      </c>
      <c r="D5" s="13" t="str">
        <f>TEXT(COUNTIF(测试用例!E19:E30,"*✅*")/(12),"0%")</f>
        <v>67%</v>
      </c>
      <c r="E5" s="14" t="s">
        <v>1</v>
      </c>
    </row>
    <row r="6" ht="15.75" spans="1:5">
      <c r="A6" s="15">
        <v>4</v>
      </c>
      <c r="B6" s="16" t="s">
        <v>91</v>
      </c>
      <c r="C6" s="17" t="s">
        <v>36</v>
      </c>
      <c r="D6" s="18" t="str">
        <f>TEXT(COUNTIF(测试用例!E31:E43,"*✅*")/(13),"0%")</f>
        <v>0%</v>
      </c>
      <c r="E6" s="19" t="s">
        <v>1</v>
      </c>
    </row>
    <row r="7" ht="15.75" spans="1:5">
      <c r="A7" s="10">
        <v>5</v>
      </c>
      <c r="B7" s="11" t="s">
        <v>116</v>
      </c>
      <c r="C7" s="12" t="s">
        <v>36</v>
      </c>
      <c r="D7" s="13" t="str">
        <f>TEXT(COUNTIF(测试用例!E44:E48,"*✅*")/(5),"0%")</f>
        <v>0%</v>
      </c>
      <c r="E7" s="14" t="s">
        <v>1</v>
      </c>
    </row>
    <row r="8" ht="15.75" spans="1:5">
      <c r="A8" s="15">
        <v>6</v>
      </c>
      <c r="B8" s="16" t="s">
        <v>127</v>
      </c>
      <c r="C8" s="17" t="s">
        <v>36</v>
      </c>
      <c r="D8" s="18" t="str">
        <f>TEXT(COUNTIF(测试用例!E49:E57,"*✅*")/(9),"0%")</f>
        <v>0%</v>
      </c>
      <c r="E8" s="19" t="s">
        <v>1</v>
      </c>
    </row>
    <row r="9" ht="15.75" spans="1:5">
      <c r="A9" s="10">
        <v>7</v>
      </c>
      <c r="B9" s="11" t="s">
        <v>146</v>
      </c>
      <c r="C9" s="12" t="s">
        <v>36</v>
      </c>
      <c r="D9" s="13" t="str">
        <f>TEXT(COUNTIF(测试用例!E58:E66,"*✅*")/(9),"0%")</f>
        <v>0%</v>
      </c>
      <c r="E9" s="14" t="s">
        <v>1</v>
      </c>
    </row>
    <row r="10" ht="15.75" spans="1:5">
      <c r="A10" s="15">
        <v>8</v>
      </c>
      <c r="B10" s="16" t="s">
        <v>162</v>
      </c>
      <c r="C10" s="17" t="s">
        <v>36</v>
      </c>
      <c r="D10" s="18" t="str">
        <f>TEXT(COUNTIF(测试用例!E67:E71,"*✅*")/(5),"0%")</f>
        <v>0%</v>
      </c>
      <c r="E10" s="19" t="s">
        <v>1</v>
      </c>
    </row>
    <row r="11" ht="15.75" spans="1:5">
      <c r="A11" s="10">
        <v>9</v>
      </c>
      <c r="B11" s="11" t="s">
        <v>173</v>
      </c>
      <c r="C11" s="12" t="s">
        <v>36</v>
      </c>
      <c r="D11" s="13" t="str">
        <f>TEXT(COUNTIF(测试用例!E72:E76,"*✅*")/(5),"0%")</f>
        <v>0%</v>
      </c>
      <c r="E11" s="14" t="s">
        <v>1</v>
      </c>
    </row>
    <row r="12" ht="15.75" spans="1:5">
      <c r="A12" s="15">
        <v>10</v>
      </c>
      <c r="B12" s="16" t="s">
        <v>184</v>
      </c>
      <c r="C12" s="17" t="s">
        <v>36</v>
      </c>
      <c r="D12" s="18" t="str">
        <f>TEXT(COUNTIF(测试用例!E77:E83,"*✅*")/(7),"0%")</f>
        <v>0%</v>
      </c>
      <c r="E12" s="19" t="s">
        <v>1</v>
      </c>
    </row>
    <row r="13" ht="15.75" spans="1:5">
      <c r="A13" s="10">
        <v>11</v>
      </c>
      <c r="B13" s="11" t="s">
        <v>197</v>
      </c>
      <c r="C13" s="12" t="s">
        <v>36</v>
      </c>
      <c r="D13" s="13" t="str">
        <f>TEXT(COUNTIF(测试用例!E84:E90,"*✅*")/(7),"0%")</f>
        <v>0%</v>
      </c>
      <c r="E13" s="14" t="s">
        <v>1</v>
      </c>
    </row>
    <row r="14" ht="15.75" spans="1:5">
      <c r="A14" s="15">
        <v>12</v>
      </c>
      <c r="B14" s="16" t="s">
        <v>212</v>
      </c>
      <c r="C14" s="17" t="s">
        <v>36</v>
      </c>
      <c r="D14" s="18" t="str">
        <f>TEXT(COUNTIF(测试用例!E91:E96,"*✅*")/(6),"0%")</f>
        <v>0%</v>
      </c>
      <c r="E14" s="19" t="s">
        <v>1</v>
      </c>
    </row>
    <row r="15" ht="15.75" spans="1:5">
      <c r="A15" s="10">
        <v>13</v>
      </c>
      <c r="B15" s="11" t="s">
        <v>224</v>
      </c>
      <c r="C15" s="12" t="s">
        <v>36</v>
      </c>
      <c r="D15" s="13" t="str">
        <f>TEXT(COUNTIF(测试用例!E97:E105,"*✅*")/(9),"0%")</f>
        <v>0%</v>
      </c>
      <c r="E15" s="14" t="s">
        <v>1</v>
      </c>
    </row>
    <row r="16" ht="15.75" spans="1:5">
      <c r="A16" s="15">
        <v>14</v>
      </c>
      <c r="B16" s="16" t="s">
        <v>240</v>
      </c>
      <c r="C16" s="17" t="s">
        <v>36</v>
      </c>
      <c r="D16" s="18" t="str">
        <f>TEXT(COUNTIF(测试用例!E106:E112,"*✅*")/(7),"0%")</f>
        <v>0%</v>
      </c>
      <c r="E16" s="19" t="s">
        <v>1</v>
      </c>
    </row>
    <row r="17" ht="15.75" spans="1:5">
      <c r="A17" s="10">
        <v>15</v>
      </c>
      <c r="B17" s="11" t="s">
        <v>254</v>
      </c>
      <c r="C17" s="12" t="s">
        <v>36</v>
      </c>
      <c r="D17" s="13" t="str">
        <f>TEXT(COUNTIF(测试用例!E113:E117,"*✅*")/(5),"0%")</f>
        <v>0%</v>
      </c>
      <c r="E17" s="14" t="s">
        <v>1</v>
      </c>
    </row>
    <row r="18" ht="15.75" spans="1:5">
      <c r="A18" s="15">
        <v>16</v>
      </c>
      <c r="B18" s="16" t="s">
        <v>265</v>
      </c>
      <c r="C18" s="17" t="s">
        <v>36</v>
      </c>
      <c r="D18" s="18" t="str">
        <f>TEXT(COUNTIF(测试用例!E118:E123,"*✅*")/(6),"0%")</f>
        <v>0%</v>
      </c>
      <c r="E18" s="19" t="s">
        <v>1</v>
      </c>
    </row>
    <row r="19" ht="15.75" spans="1:5">
      <c r="A19" s="10">
        <v>17</v>
      </c>
      <c r="B19" s="11" t="s">
        <v>278</v>
      </c>
      <c r="C19" s="12" t="s">
        <v>36</v>
      </c>
      <c r="D19" s="13" t="str">
        <f>TEXT(COUNTIF(测试用例!E124:E130,"*✅*")/(7),"0%")</f>
        <v>0%</v>
      </c>
      <c r="E19" s="14" t="s">
        <v>1</v>
      </c>
    </row>
    <row r="20" ht="15.75" spans="1:5">
      <c r="A20" s="15">
        <v>18</v>
      </c>
      <c r="B20" s="16" t="s">
        <v>291</v>
      </c>
      <c r="C20" s="17" t="s">
        <v>36</v>
      </c>
      <c r="D20" s="18" t="str">
        <f>TEXT(COUNTIF(测试用例!E131:E134,"*✅*")/(4),"0%")</f>
        <v>0%</v>
      </c>
      <c r="E20" s="19" t="s">
        <v>1</v>
      </c>
    </row>
    <row r="21" ht="32" customHeight="1" spans="1:5">
      <c r="A21" s="20" t="s">
        <v>304</v>
      </c>
      <c r="B21" s="20"/>
      <c r="C21" s="21" t="str">
        <f>IF(COUNTIF(C3:C20,"*🔴*")&gt;0,"🔴有问题",IF(COUNTIF(C3:C20,"*⏳*")&gt;0,"⏳未测完","🟢全部通过"))</f>
        <v>⏳未测完</v>
      </c>
      <c r="D21" s="22" t="str">
        <f>TEXT(COUNTIF(测试用例!E4:E134,"*✅*")/(131),"0%")</f>
        <v>17%</v>
      </c>
      <c r="E21" s="23" t="s">
        <v>305</v>
      </c>
    </row>
  </sheetData>
  <mergeCells count="2">
    <mergeCell ref="A1:E1"/>
    <mergeCell ref="A21:B21"/>
  </mergeCells>
  <conditionalFormatting sqref="C3:C20">
    <cfRule type="containsText" dxfId="0" priority="1" operator="between" text="🟢">
      <formula>NOT(ISERROR(SEARCH("🟢",C3)))</formula>
    </cfRule>
    <cfRule type="containsText" dxfId="1" priority="2" operator="between" text="🔴">
      <formula>NOT(ISERROR(SEARCH("🔴",C3)))</formula>
    </cfRule>
    <cfRule type="containsText" dxfId="2" priority="3" operator="between" text="⏳">
      <formula>NOT(ISERROR(SEARCH("⏳",C3)))</formula>
    </cfRule>
  </conditionalFormatting>
  <dataValidations count="1">
    <dataValidation type="list" showErrorMessage="1" errorTitle="选错了" error="从未测 / 通过 / 不通过 三选一" sqref="C3:C9 C10:C20">
      <formula1>"⏳未测,🟢通过,🔴不通过"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showGridLines="0" workbookViewId="0">
      <selection activeCell="A1" sqref="A1:B1"/>
    </sheetView>
  </sheetViews>
  <sheetFormatPr defaultColWidth="9" defaultRowHeight="24" customHeight="1" outlineLevelCol="1"/>
  <cols>
    <col min="1" max="1" width="22" customWidth="1"/>
    <col min="2" max="2" width="70" customWidth="1"/>
  </cols>
  <sheetData>
    <row r="1" ht="32" customHeight="1" spans="1:2">
      <c r="A1" s="1" t="s">
        <v>306</v>
      </c>
      <c r="B1" s="1"/>
    </row>
    <row r="2" ht="13.5" spans="1:2">
      <c r="A2" s="2" t="s">
        <v>1</v>
      </c>
      <c r="B2" s="3" t="s">
        <v>1</v>
      </c>
    </row>
    <row r="3" ht="13.5" spans="1:2">
      <c r="A3" s="2" t="s">
        <v>307</v>
      </c>
      <c r="B3" s="3" t="s">
        <v>308</v>
      </c>
    </row>
    <row r="4" ht="13.5" spans="1:2">
      <c r="A4" s="2" t="s">
        <v>309</v>
      </c>
      <c r="B4" s="3" t="s">
        <v>310</v>
      </c>
    </row>
    <row r="5" ht="13.5" spans="1:2">
      <c r="A5" s="2" t="s">
        <v>311</v>
      </c>
      <c r="B5" s="3" t="s">
        <v>312</v>
      </c>
    </row>
    <row r="6" ht="13.5" spans="1:2">
      <c r="A6" s="2" t="s">
        <v>313</v>
      </c>
      <c r="B6" s="3" t="s">
        <v>314</v>
      </c>
    </row>
    <row r="7" ht="13.5" spans="1:2">
      <c r="A7" s="2" t="s">
        <v>315</v>
      </c>
      <c r="B7" s="3" t="s">
        <v>316</v>
      </c>
    </row>
    <row r="8" ht="13.5" spans="1:2">
      <c r="A8" s="2" t="s">
        <v>1</v>
      </c>
      <c r="B8" s="3" t="s">
        <v>1</v>
      </c>
    </row>
    <row r="9" ht="15.75" spans="1:2">
      <c r="A9" s="4" t="s">
        <v>317</v>
      </c>
      <c r="B9" s="5" t="s">
        <v>1</v>
      </c>
    </row>
    <row r="10" ht="13.5" spans="1:2">
      <c r="A10" s="6" t="s">
        <v>307</v>
      </c>
      <c r="B10" s="7" t="s">
        <v>318</v>
      </c>
    </row>
    <row r="11" ht="13.5" spans="1:2">
      <c r="A11" s="6" t="s">
        <v>309</v>
      </c>
      <c r="B11" s="7" t="s">
        <v>319</v>
      </c>
    </row>
    <row r="12" ht="13.5" spans="1:2">
      <c r="A12" s="6" t="s">
        <v>311</v>
      </c>
      <c r="B12" s="7" t="s">
        <v>320</v>
      </c>
    </row>
    <row r="13" ht="13.5" spans="1:2">
      <c r="A13" s="6" t="s">
        <v>313</v>
      </c>
      <c r="B13" s="7" t="s">
        <v>321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使用说明</vt:lpstr>
      <vt:lpstr>测试用例</vt:lpstr>
      <vt:lpstr>总体评估</vt:lpstr>
      <vt:lpstr>报问题模板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本地房东团队</dc:creator>
  <cp:lastModifiedBy>嗖嗖小凉风</cp:lastModifiedBy>
  <dcterms:created xsi:type="dcterms:W3CDTF">2026-07-20T01:11:00Z</dcterms:created>
  <dcterms:modified xsi:type="dcterms:W3CDTF">2026-07-21T05:18:32Z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4FEC9A0078AD4AA89D0618E832E15043_12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